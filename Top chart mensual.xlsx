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ebmaster\Desktop\"/>
    </mc:Choice>
  </mc:AlternateContent>
  <xr:revisionPtr revIDLastSave="0" documentId="8_{F7AD0E43-7454-46FC-893A-C099B01944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 junio" sheetId="1" r:id="rId1"/>
    <sheet name="2 junio" sheetId="2" r:id="rId2"/>
    <sheet name="3 junio" sheetId="3" r:id="rId3"/>
  </sheets>
  <externalReferences>
    <externalReference r:id="rId4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1" i="3" l="1"/>
  <c r="S101" i="3" s="1"/>
  <c r="O101" i="3"/>
  <c r="S100" i="3"/>
  <c r="T100" i="3" s="1"/>
  <c r="R100" i="3"/>
  <c r="O100" i="3"/>
  <c r="R99" i="3"/>
  <c r="Q99" i="3"/>
  <c r="P99" i="3"/>
  <c r="N99" i="3"/>
  <c r="O99" i="3" s="1"/>
  <c r="R98" i="3"/>
  <c r="O98" i="3"/>
  <c r="S98" i="3" s="1"/>
  <c r="S97" i="3"/>
  <c r="T97" i="3" s="1"/>
  <c r="R97" i="3"/>
  <c r="O97" i="3"/>
  <c r="R96" i="3"/>
  <c r="S96" i="3" s="1"/>
  <c r="O96" i="3"/>
  <c r="S95" i="3"/>
  <c r="T95" i="3" s="1"/>
  <c r="R95" i="3"/>
  <c r="O95" i="3"/>
  <c r="R94" i="3"/>
  <c r="S94" i="3" s="1"/>
  <c r="O94" i="3"/>
  <c r="S93" i="3"/>
  <c r="T93" i="3" s="1"/>
  <c r="R93" i="3"/>
  <c r="O93" i="3"/>
  <c r="R92" i="3"/>
  <c r="Q92" i="3"/>
  <c r="P92" i="3"/>
  <c r="O92" i="3"/>
  <c r="S92" i="3" s="1"/>
  <c r="N92" i="3"/>
  <c r="T91" i="3"/>
  <c r="S91" i="3"/>
  <c r="R91" i="3"/>
  <c r="O91" i="3"/>
  <c r="R90" i="3"/>
  <c r="Q90" i="3"/>
  <c r="P90" i="3"/>
  <c r="N90" i="3"/>
  <c r="O90" i="3" s="1"/>
  <c r="R89" i="3"/>
  <c r="O89" i="3"/>
  <c r="T88" i="3"/>
  <c r="S88" i="3"/>
  <c r="R88" i="3"/>
  <c r="O88" i="3"/>
  <c r="R87" i="3"/>
  <c r="Q87" i="3"/>
  <c r="P87" i="3"/>
  <c r="O87" i="3"/>
  <c r="N87" i="3"/>
  <c r="R86" i="3"/>
  <c r="O86" i="3"/>
  <c r="T85" i="3"/>
  <c r="S85" i="3"/>
  <c r="R85" i="3"/>
  <c r="O85" i="3"/>
  <c r="R84" i="3"/>
  <c r="O84" i="3"/>
  <c r="T83" i="3"/>
  <c r="S83" i="3"/>
  <c r="R83" i="3"/>
  <c r="O83" i="3"/>
  <c r="R82" i="3"/>
  <c r="O82" i="3"/>
  <c r="T81" i="3"/>
  <c r="S81" i="3"/>
  <c r="R81" i="3"/>
  <c r="O81" i="3"/>
  <c r="R80" i="3"/>
  <c r="O80" i="3"/>
  <c r="T79" i="3"/>
  <c r="S79" i="3"/>
  <c r="R79" i="3"/>
  <c r="O79" i="3"/>
  <c r="R78" i="3"/>
  <c r="Q78" i="3"/>
  <c r="P78" i="3"/>
  <c r="N78" i="3"/>
  <c r="O78" i="3" s="1"/>
  <c r="R77" i="3"/>
  <c r="O77" i="3"/>
  <c r="S77" i="3" s="1"/>
  <c r="T77" i="3" s="1"/>
  <c r="S76" i="3"/>
  <c r="T76" i="3" s="1"/>
  <c r="R76" i="3"/>
  <c r="O76" i="3"/>
  <c r="R75" i="3"/>
  <c r="O75" i="3"/>
  <c r="S75" i="3" s="1"/>
  <c r="T75" i="3" s="1"/>
  <c r="S74" i="3"/>
  <c r="T74" i="3" s="1"/>
  <c r="R74" i="3"/>
  <c r="O74" i="3"/>
  <c r="T73" i="3"/>
  <c r="S73" i="3"/>
  <c r="R73" i="3"/>
  <c r="O73" i="3"/>
  <c r="S72" i="3"/>
  <c r="T72" i="3" s="1"/>
  <c r="R72" i="3"/>
  <c r="O72" i="3"/>
  <c r="T71" i="3"/>
  <c r="S71" i="3"/>
  <c r="R71" i="3"/>
  <c r="O71" i="3"/>
  <c r="S70" i="3"/>
  <c r="T70" i="3" s="1"/>
  <c r="R70" i="3"/>
  <c r="O70" i="3"/>
  <c r="T69" i="3"/>
  <c r="S69" i="3"/>
  <c r="R69" i="3"/>
  <c r="O69" i="3"/>
  <c r="S68" i="3"/>
  <c r="T68" i="3" s="1"/>
  <c r="R68" i="3"/>
  <c r="O68" i="3"/>
  <c r="T67" i="3"/>
  <c r="S67" i="3"/>
  <c r="R67" i="3"/>
  <c r="O67" i="3"/>
  <c r="S66" i="3"/>
  <c r="T66" i="3" s="1"/>
  <c r="R66" i="3"/>
  <c r="O66" i="3"/>
  <c r="T65" i="3"/>
  <c r="S65" i="3"/>
  <c r="R65" i="3"/>
  <c r="O65" i="3"/>
  <c r="S64" i="3"/>
  <c r="T64" i="3" s="1"/>
  <c r="R64" i="3"/>
  <c r="O64" i="3"/>
  <c r="T63" i="3"/>
  <c r="S63" i="3"/>
  <c r="R63" i="3"/>
  <c r="O63" i="3"/>
  <c r="S62" i="3"/>
  <c r="T62" i="3" s="1"/>
  <c r="R62" i="3"/>
  <c r="O62" i="3"/>
  <c r="T61" i="3"/>
  <c r="S61" i="3"/>
  <c r="R61" i="3"/>
  <c r="O61" i="3"/>
  <c r="S60" i="3"/>
  <c r="T60" i="3" s="1"/>
  <c r="R60" i="3"/>
  <c r="O60" i="3"/>
  <c r="T59" i="3"/>
  <c r="S59" i="3"/>
  <c r="R59" i="3"/>
  <c r="O59" i="3"/>
  <c r="S58" i="3"/>
  <c r="T58" i="3" s="1"/>
  <c r="R58" i="3"/>
  <c r="O58" i="3"/>
  <c r="R57" i="3"/>
  <c r="O57" i="3"/>
  <c r="S57" i="3" s="1"/>
  <c r="T57" i="3" s="1"/>
  <c r="S56" i="3"/>
  <c r="T56" i="3" s="1"/>
  <c r="R56" i="3"/>
  <c r="O56" i="3"/>
  <c r="R55" i="3"/>
  <c r="O55" i="3"/>
  <c r="S55" i="3" s="1"/>
  <c r="T55" i="3" s="1"/>
  <c r="S54" i="3"/>
  <c r="T54" i="3" s="1"/>
  <c r="R54" i="3"/>
  <c r="O54" i="3"/>
  <c r="T53" i="3"/>
  <c r="S53" i="3"/>
  <c r="R53" i="3"/>
  <c r="O53" i="3"/>
  <c r="S52" i="3"/>
  <c r="T52" i="3" s="1"/>
  <c r="R52" i="3"/>
  <c r="Q52" i="3"/>
  <c r="P52" i="3"/>
  <c r="O52" i="3"/>
  <c r="N52" i="3"/>
  <c r="R51" i="3"/>
  <c r="S51" i="3" s="1"/>
  <c r="O51" i="3"/>
  <c r="T51" i="3" s="1"/>
  <c r="T50" i="3"/>
  <c r="S50" i="3"/>
  <c r="R50" i="3"/>
  <c r="O50" i="3"/>
  <c r="R49" i="3"/>
  <c r="S49" i="3" s="1"/>
  <c r="O49" i="3"/>
  <c r="T48" i="3"/>
  <c r="S48" i="3"/>
  <c r="R48" i="3"/>
  <c r="O48" i="3"/>
  <c r="R47" i="3"/>
  <c r="Q47" i="3"/>
  <c r="P47" i="3"/>
  <c r="N47" i="3"/>
  <c r="O47" i="3" s="1"/>
  <c r="R46" i="3"/>
  <c r="O46" i="3"/>
  <c r="S45" i="3"/>
  <c r="T45" i="3" s="1"/>
  <c r="R45" i="3"/>
  <c r="O45" i="3"/>
  <c r="R44" i="3"/>
  <c r="O44" i="3"/>
  <c r="S43" i="3"/>
  <c r="T43" i="3" s="1"/>
  <c r="R43" i="3"/>
  <c r="O43" i="3"/>
  <c r="R42" i="3"/>
  <c r="O42" i="3"/>
  <c r="S41" i="3"/>
  <c r="T41" i="3" s="1"/>
  <c r="R41" i="3"/>
  <c r="O41" i="3"/>
  <c r="R40" i="3"/>
  <c r="O40" i="3"/>
  <c r="S39" i="3"/>
  <c r="T39" i="3" s="1"/>
  <c r="R39" i="3"/>
  <c r="O39" i="3"/>
  <c r="R38" i="3"/>
  <c r="O38" i="3"/>
  <c r="S37" i="3"/>
  <c r="T37" i="3" s="1"/>
  <c r="R37" i="3"/>
  <c r="O37" i="3"/>
  <c r="R36" i="3"/>
  <c r="Q36" i="3"/>
  <c r="P36" i="3"/>
  <c r="O36" i="3"/>
  <c r="N36" i="3"/>
  <c r="R35" i="3"/>
  <c r="O35" i="3"/>
  <c r="R34" i="3"/>
  <c r="S34" i="3" s="1"/>
  <c r="T34" i="3" s="1"/>
  <c r="O34" i="3"/>
  <c r="R33" i="3"/>
  <c r="O33" i="3"/>
  <c r="R32" i="3"/>
  <c r="Q32" i="3"/>
  <c r="P32" i="3"/>
  <c r="N32" i="3"/>
  <c r="O32" i="3" s="1"/>
  <c r="S31" i="3"/>
  <c r="T31" i="3" s="1"/>
  <c r="R31" i="3"/>
  <c r="O31" i="3"/>
  <c r="T30" i="3"/>
  <c r="S30" i="3"/>
  <c r="R30" i="3"/>
  <c r="O30" i="3"/>
  <c r="S29" i="3"/>
  <c r="T29" i="3" s="1"/>
  <c r="R29" i="3"/>
  <c r="O29" i="3"/>
  <c r="T28" i="3"/>
  <c r="S28" i="3"/>
  <c r="R28" i="3"/>
  <c r="O28" i="3"/>
  <c r="S27" i="3"/>
  <c r="T27" i="3" s="1"/>
  <c r="R27" i="3"/>
  <c r="O27" i="3"/>
  <c r="T26" i="3"/>
  <c r="S26" i="3"/>
  <c r="R26" i="3"/>
  <c r="O26" i="3"/>
  <c r="S25" i="3"/>
  <c r="T25" i="3" s="1"/>
  <c r="R25" i="3"/>
  <c r="O25" i="3"/>
  <c r="T24" i="3"/>
  <c r="S24" i="3"/>
  <c r="R24" i="3"/>
  <c r="O24" i="3"/>
  <c r="S23" i="3"/>
  <c r="T23" i="3" s="1"/>
  <c r="R23" i="3"/>
  <c r="O23" i="3"/>
  <c r="T22" i="3"/>
  <c r="S22" i="3"/>
  <c r="R22" i="3"/>
  <c r="O22" i="3"/>
  <c r="S21" i="3"/>
  <c r="T21" i="3" s="1"/>
  <c r="R21" i="3"/>
  <c r="O21" i="3"/>
  <c r="R20" i="3"/>
  <c r="Q20" i="3"/>
  <c r="P20" i="3"/>
  <c r="O20" i="3"/>
  <c r="S20" i="3" s="1"/>
  <c r="N20" i="3"/>
  <c r="T19" i="3"/>
  <c r="S19" i="3"/>
  <c r="R19" i="3"/>
  <c r="O19" i="3"/>
  <c r="R18" i="3"/>
  <c r="S18" i="3" s="1"/>
  <c r="O18" i="3"/>
  <c r="T17" i="3"/>
  <c r="S17" i="3"/>
  <c r="R17" i="3"/>
  <c r="O17" i="3"/>
  <c r="R16" i="3"/>
  <c r="S16" i="3" s="1"/>
  <c r="O16" i="3"/>
  <c r="T15" i="3"/>
  <c r="S15" i="3"/>
  <c r="R15" i="3"/>
  <c r="O15" i="3"/>
  <c r="R14" i="3"/>
  <c r="S14" i="3" s="1"/>
  <c r="O14" i="3"/>
  <c r="T14" i="3" s="1"/>
  <c r="T13" i="3"/>
  <c r="S13" i="3"/>
  <c r="R13" i="3"/>
  <c r="O13" i="3"/>
  <c r="R12" i="3"/>
  <c r="S12" i="3" s="1"/>
  <c r="O12" i="3"/>
  <c r="T11" i="3"/>
  <c r="S11" i="3"/>
  <c r="R11" i="3"/>
  <c r="O11" i="3"/>
  <c r="R10" i="3"/>
  <c r="Q10" i="3"/>
  <c r="P10" i="3"/>
  <c r="N10" i="3"/>
  <c r="O10" i="3" s="1"/>
  <c r="R9" i="3"/>
  <c r="O9" i="3"/>
  <c r="R8" i="3"/>
  <c r="Q8" i="3"/>
  <c r="P8" i="3"/>
  <c r="N8" i="3"/>
  <c r="O8" i="3" s="1"/>
  <c r="T7" i="3"/>
  <c r="S7" i="3"/>
  <c r="R7" i="3"/>
  <c r="O7" i="3"/>
  <c r="R6" i="3"/>
  <c r="O6" i="3"/>
  <c r="T5" i="3"/>
  <c r="S5" i="3"/>
  <c r="R5" i="3"/>
  <c r="O5" i="3"/>
  <c r="R4" i="3"/>
  <c r="O4" i="3"/>
  <c r="T3" i="3"/>
  <c r="S3" i="3"/>
  <c r="R3" i="3"/>
  <c r="O3" i="3"/>
  <c r="R2" i="3"/>
  <c r="O2" i="3"/>
  <c r="T101" i="2"/>
  <c r="S101" i="2"/>
  <c r="R101" i="2"/>
  <c r="O101" i="2"/>
  <c r="R100" i="2"/>
  <c r="O100" i="2"/>
  <c r="R99" i="2"/>
  <c r="Q99" i="2"/>
  <c r="P99" i="2"/>
  <c r="N99" i="2"/>
  <c r="O99" i="2" s="1"/>
  <c r="S98" i="2"/>
  <c r="T98" i="2" s="1"/>
  <c r="R98" i="2"/>
  <c r="O98" i="2"/>
  <c r="S97" i="2"/>
  <c r="T97" i="2" s="1"/>
  <c r="R97" i="2"/>
  <c r="O97" i="2"/>
  <c r="S96" i="2"/>
  <c r="T96" i="2" s="1"/>
  <c r="R96" i="2"/>
  <c r="O96" i="2"/>
  <c r="R95" i="2"/>
  <c r="Q95" i="2"/>
  <c r="P95" i="2"/>
  <c r="O95" i="2"/>
  <c r="S95" i="2" s="1"/>
  <c r="N95" i="2"/>
  <c r="R94" i="2"/>
  <c r="S94" i="2" s="1"/>
  <c r="T94" i="2" s="1"/>
  <c r="O94" i="2"/>
  <c r="S93" i="2"/>
  <c r="R93" i="2"/>
  <c r="O93" i="2"/>
  <c r="R92" i="2"/>
  <c r="S92" i="2" s="1"/>
  <c r="T92" i="2" s="1"/>
  <c r="O92" i="2"/>
  <c r="S91" i="2"/>
  <c r="R91" i="2"/>
  <c r="O91" i="2"/>
  <c r="T91" i="2" s="1"/>
  <c r="R90" i="2"/>
  <c r="S90" i="2" s="1"/>
  <c r="T90" i="2" s="1"/>
  <c r="O90" i="2"/>
  <c r="S89" i="2"/>
  <c r="R89" i="2"/>
  <c r="O89" i="2"/>
  <c r="T89" i="2" s="1"/>
  <c r="R88" i="2"/>
  <c r="S88" i="2" s="1"/>
  <c r="T88" i="2" s="1"/>
  <c r="O88" i="2"/>
  <c r="S87" i="2"/>
  <c r="R87" i="2"/>
  <c r="O87" i="2"/>
  <c r="R86" i="2"/>
  <c r="S86" i="2" s="1"/>
  <c r="T86" i="2" s="1"/>
  <c r="O86" i="2"/>
  <c r="S85" i="2"/>
  <c r="R85" i="2"/>
  <c r="O85" i="2"/>
  <c r="R84" i="2"/>
  <c r="S84" i="2" s="1"/>
  <c r="T84" i="2" s="1"/>
  <c r="O84" i="2"/>
  <c r="R83" i="2"/>
  <c r="Q83" i="2"/>
  <c r="P83" i="2"/>
  <c r="N83" i="2"/>
  <c r="O83" i="2" s="1"/>
  <c r="R82" i="2"/>
  <c r="O82" i="2"/>
  <c r="R81" i="2"/>
  <c r="O81" i="2"/>
  <c r="S81" i="2" s="1"/>
  <c r="T81" i="2" s="1"/>
  <c r="R80" i="2"/>
  <c r="Q80" i="2"/>
  <c r="P80" i="2"/>
  <c r="O80" i="2"/>
  <c r="N80" i="2"/>
  <c r="R79" i="2"/>
  <c r="O79" i="2"/>
  <c r="S78" i="2"/>
  <c r="T78" i="2" s="1"/>
  <c r="R78" i="2"/>
  <c r="O78" i="2"/>
  <c r="R77" i="2"/>
  <c r="O77" i="2"/>
  <c r="S76" i="2"/>
  <c r="T76" i="2" s="1"/>
  <c r="R76" i="2"/>
  <c r="O76" i="2"/>
  <c r="R75" i="2"/>
  <c r="Q75" i="2"/>
  <c r="P75" i="2"/>
  <c r="O75" i="2"/>
  <c r="N75" i="2"/>
  <c r="S74" i="2"/>
  <c r="T74" i="2" s="1"/>
  <c r="R74" i="2"/>
  <c r="O74" i="2"/>
  <c r="R73" i="2"/>
  <c r="S73" i="2" s="1"/>
  <c r="T73" i="2" s="1"/>
  <c r="O73" i="2"/>
  <c r="S72" i="2"/>
  <c r="T72" i="2" s="1"/>
  <c r="R72" i="2"/>
  <c r="O72" i="2"/>
  <c r="R71" i="2"/>
  <c r="S71" i="2" s="1"/>
  <c r="T71" i="2" s="1"/>
  <c r="O71" i="2"/>
  <c r="S70" i="2"/>
  <c r="T70" i="2" s="1"/>
  <c r="R70" i="2"/>
  <c r="O70" i="2"/>
  <c r="S69" i="2"/>
  <c r="T69" i="2" s="1"/>
  <c r="R69" i="2"/>
  <c r="Q69" i="2"/>
  <c r="P69" i="2"/>
  <c r="O69" i="2"/>
  <c r="N69" i="2"/>
  <c r="R68" i="2"/>
  <c r="O68" i="2"/>
  <c r="S68" i="2" s="1"/>
  <c r="T67" i="2"/>
  <c r="S67" i="2"/>
  <c r="R67" i="2"/>
  <c r="O67" i="2"/>
  <c r="R66" i="2"/>
  <c r="O66" i="2"/>
  <c r="S66" i="2" s="1"/>
  <c r="T65" i="2"/>
  <c r="S65" i="2"/>
  <c r="R65" i="2"/>
  <c r="O65" i="2"/>
  <c r="R64" i="2"/>
  <c r="O64" i="2"/>
  <c r="T63" i="2"/>
  <c r="S63" i="2"/>
  <c r="R63" i="2"/>
  <c r="O63" i="2"/>
  <c r="S62" i="2"/>
  <c r="R62" i="2"/>
  <c r="Q62" i="2"/>
  <c r="P62" i="2"/>
  <c r="N62" i="2"/>
  <c r="O62" i="2" s="1"/>
  <c r="R61" i="2"/>
  <c r="O61" i="2"/>
  <c r="S60" i="2"/>
  <c r="T60" i="2" s="1"/>
  <c r="R60" i="2"/>
  <c r="O60" i="2"/>
  <c r="R59" i="2"/>
  <c r="O59" i="2"/>
  <c r="T58" i="2"/>
  <c r="S58" i="2"/>
  <c r="R58" i="2"/>
  <c r="O58" i="2"/>
  <c r="R57" i="2"/>
  <c r="O57" i="2"/>
  <c r="S56" i="2"/>
  <c r="T56" i="2" s="1"/>
  <c r="R56" i="2"/>
  <c r="O56" i="2"/>
  <c r="R55" i="2"/>
  <c r="O55" i="2"/>
  <c r="S54" i="2"/>
  <c r="T54" i="2" s="1"/>
  <c r="R54" i="2"/>
  <c r="O54" i="2"/>
  <c r="R53" i="2"/>
  <c r="O53" i="2"/>
  <c r="S52" i="2"/>
  <c r="T52" i="2" s="1"/>
  <c r="R52" i="2"/>
  <c r="O52" i="2"/>
  <c r="R51" i="2"/>
  <c r="Q51" i="2"/>
  <c r="P51" i="2"/>
  <c r="O51" i="2"/>
  <c r="N51" i="2"/>
  <c r="R50" i="2"/>
  <c r="O50" i="2"/>
  <c r="R49" i="2"/>
  <c r="S49" i="2" s="1"/>
  <c r="T49" i="2" s="1"/>
  <c r="O49" i="2"/>
  <c r="R48" i="2"/>
  <c r="O48" i="2"/>
  <c r="R47" i="2"/>
  <c r="S47" i="2" s="1"/>
  <c r="T47" i="2" s="1"/>
  <c r="O47" i="2"/>
  <c r="R46" i="2"/>
  <c r="O46" i="2"/>
  <c r="R45" i="2"/>
  <c r="S45" i="2" s="1"/>
  <c r="T45" i="2" s="1"/>
  <c r="O45" i="2"/>
  <c r="R44" i="2"/>
  <c r="O44" i="2"/>
  <c r="T43" i="2"/>
  <c r="S43" i="2"/>
  <c r="R43" i="2"/>
  <c r="O43" i="2"/>
  <c r="R42" i="2"/>
  <c r="O42" i="2"/>
  <c r="R41" i="2"/>
  <c r="S41" i="2" s="1"/>
  <c r="T41" i="2" s="1"/>
  <c r="O41" i="2"/>
  <c r="R40" i="2"/>
  <c r="O40" i="2"/>
  <c r="R39" i="2"/>
  <c r="S39" i="2" s="1"/>
  <c r="T39" i="2" s="1"/>
  <c r="O39" i="2"/>
  <c r="R38" i="2"/>
  <c r="O38" i="2"/>
  <c r="S37" i="2"/>
  <c r="T37" i="2" s="1"/>
  <c r="R37" i="2"/>
  <c r="O37" i="2"/>
  <c r="R36" i="2"/>
  <c r="O36" i="2"/>
  <c r="T35" i="2"/>
  <c r="S35" i="2"/>
  <c r="R35" i="2"/>
  <c r="O35" i="2"/>
  <c r="R34" i="2"/>
  <c r="O34" i="2"/>
  <c r="R33" i="2"/>
  <c r="S33" i="2" s="1"/>
  <c r="T33" i="2" s="1"/>
  <c r="O33" i="2"/>
  <c r="R32" i="2"/>
  <c r="O32" i="2"/>
  <c r="R31" i="2"/>
  <c r="S31" i="2" s="1"/>
  <c r="T31" i="2" s="1"/>
  <c r="O31" i="2"/>
  <c r="R30" i="2"/>
  <c r="O30" i="2"/>
  <c r="S29" i="2"/>
  <c r="T29" i="2" s="1"/>
  <c r="R29" i="2"/>
  <c r="O29" i="2"/>
  <c r="R28" i="2"/>
  <c r="O28" i="2"/>
  <c r="T27" i="2"/>
  <c r="S27" i="2"/>
  <c r="R27" i="2"/>
  <c r="O27" i="2"/>
  <c r="R26" i="2"/>
  <c r="O26" i="2"/>
  <c r="R25" i="2"/>
  <c r="S25" i="2" s="1"/>
  <c r="T25" i="2" s="1"/>
  <c r="O25" i="2"/>
  <c r="R24" i="2"/>
  <c r="Q24" i="2"/>
  <c r="P24" i="2"/>
  <c r="N24" i="2"/>
  <c r="O24" i="2" s="1"/>
  <c r="T23" i="2"/>
  <c r="S23" i="2"/>
  <c r="R23" i="2"/>
  <c r="O23" i="2"/>
  <c r="R22" i="2"/>
  <c r="O22" i="2"/>
  <c r="T21" i="2"/>
  <c r="S21" i="2"/>
  <c r="R21" i="2"/>
  <c r="O21" i="2"/>
  <c r="R20" i="2"/>
  <c r="O20" i="2"/>
  <c r="R19" i="2"/>
  <c r="Q19" i="2"/>
  <c r="P19" i="2"/>
  <c r="N19" i="2"/>
  <c r="O19" i="2" s="1"/>
  <c r="T18" i="2"/>
  <c r="S18" i="2"/>
  <c r="R18" i="2"/>
  <c r="O18" i="2"/>
  <c r="R17" i="2"/>
  <c r="S17" i="2" s="1"/>
  <c r="O17" i="2"/>
  <c r="R16" i="2"/>
  <c r="Q16" i="2"/>
  <c r="P16" i="2"/>
  <c r="N16" i="2"/>
  <c r="O16" i="2" s="1"/>
  <c r="T15" i="2"/>
  <c r="S15" i="2"/>
  <c r="R15" i="2"/>
  <c r="O15" i="2"/>
  <c r="R14" i="2"/>
  <c r="O14" i="2"/>
  <c r="R13" i="2"/>
  <c r="Q13" i="2"/>
  <c r="P13" i="2"/>
  <c r="N13" i="2"/>
  <c r="O13" i="2" s="1"/>
  <c r="S13" i="2" s="1"/>
  <c r="S12" i="2"/>
  <c r="T12" i="2" s="1"/>
  <c r="R12" i="2"/>
  <c r="O12" i="2"/>
  <c r="R11" i="2"/>
  <c r="O11" i="2"/>
  <c r="S11" i="2" s="1"/>
  <c r="R10" i="2"/>
  <c r="S10" i="2" s="1"/>
  <c r="T10" i="2" s="1"/>
  <c r="O10" i="2"/>
  <c r="T9" i="2"/>
  <c r="R9" i="2"/>
  <c r="O9" i="2"/>
  <c r="S9" i="2" s="1"/>
  <c r="S8" i="2"/>
  <c r="T8" i="2" s="1"/>
  <c r="R8" i="2"/>
  <c r="O8" i="2"/>
  <c r="R7" i="2"/>
  <c r="O7" i="2"/>
  <c r="S7" i="2" s="1"/>
  <c r="R6" i="2"/>
  <c r="S6" i="2" s="1"/>
  <c r="T6" i="2" s="1"/>
  <c r="O6" i="2"/>
  <c r="T5" i="2"/>
  <c r="R5" i="2"/>
  <c r="O5" i="2"/>
  <c r="S5" i="2" s="1"/>
  <c r="R4" i="2"/>
  <c r="S4" i="2" s="1"/>
  <c r="T4" i="2" s="1"/>
  <c r="O4" i="2"/>
  <c r="T3" i="2"/>
  <c r="R3" i="2"/>
  <c r="O3" i="2"/>
  <c r="S3" i="2" s="1"/>
  <c r="T2" i="2"/>
  <c r="S2" i="2"/>
  <c r="R2" i="2"/>
  <c r="O2" i="2"/>
  <c r="W101" i="1"/>
  <c r="U101" i="1"/>
  <c r="R101" i="1"/>
  <c r="V101" i="1" s="1"/>
  <c r="V100" i="1"/>
  <c r="W100" i="1" s="1"/>
  <c r="U100" i="1"/>
  <c r="R100" i="1"/>
  <c r="W99" i="1"/>
  <c r="U99" i="1"/>
  <c r="R99" i="1"/>
  <c r="V99" i="1" s="1"/>
  <c r="U98" i="1"/>
  <c r="V98" i="1" s="1"/>
  <c r="W98" i="1" s="1"/>
  <c r="R98" i="1"/>
  <c r="U97" i="1"/>
  <c r="R97" i="1"/>
  <c r="V97" i="1" s="1"/>
  <c r="V96" i="1"/>
  <c r="W96" i="1" s="1"/>
  <c r="U96" i="1"/>
  <c r="R96" i="1"/>
  <c r="U95" i="1"/>
  <c r="T95" i="1"/>
  <c r="S95" i="1"/>
  <c r="Q95" i="1"/>
  <c r="R95" i="1" s="1"/>
  <c r="V94" i="1"/>
  <c r="W94" i="1" s="1"/>
  <c r="U94" i="1"/>
  <c r="R94" i="1"/>
  <c r="U93" i="1"/>
  <c r="V93" i="1" s="1"/>
  <c r="R93" i="1"/>
  <c r="V92" i="1"/>
  <c r="W92" i="1" s="1"/>
  <c r="U92" i="1"/>
  <c r="R92" i="1"/>
  <c r="U91" i="1"/>
  <c r="R91" i="1"/>
  <c r="V90" i="1"/>
  <c r="W90" i="1" s="1"/>
  <c r="U90" i="1"/>
  <c r="R90" i="1"/>
  <c r="U89" i="1"/>
  <c r="R89" i="1"/>
  <c r="V88" i="1"/>
  <c r="W88" i="1" s="1"/>
  <c r="U88" i="1"/>
  <c r="R88" i="1"/>
  <c r="V87" i="1"/>
  <c r="W87" i="1" s="1"/>
  <c r="U87" i="1"/>
  <c r="R87" i="1"/>
  <c r="V86" i="1"/>
  <c r="W86" i="1" s="1"/>
  <c r="U86" i="1"/>
  <c r="R86" i="1"/>
  <c r="U85" i="1"/>
  <c r="R85" i="1"/>
  <c r="V85" i="1" s="1"/>
  <c r="W85" i="1" s="1"/>
  <c r="V84" i="1"/>
  <c r="W84" i="1" s="1"/>
  <c r="U84" i="1"/>
  <c r="R84" i="1"/>
  <c r="V83" i="1"/>
  <c r="U83" i="1"/>
  <c r="R83" i="1"/>
  <c r="W83" i="1" s="1"/>
  <c r="U82" i="1"/>
  <c r="T82" i="1"/>
  <c r="S82" i="1"/>
  <c r="Q82" i="1"/>
  <c r="R82" i="1" s="1"/>
  <c r="U81" i="1"/>
  <c r="V81" i="1" s="1"/>
  <c r="W81" i="1" s="1"/>
  <c r="R81" i="1"/>
  <c r="U80" i="1"/>
  <c r="R80" i="1"/>
  <c r="U79" i="1"/>
  <c r="V79" i="1" s="1"/>
  <c r="W79" i="1" s="1"/>
  <c r="R79" i="1"/>
  <c r="V78" i="1"/>
  <c r="U78" i="1"/>
  <c r="R78" i="1"/>
  <c r="U77" i="1"/>
  <c r="T77" i="1"/>
  <c r="S77" i="1"/>
  <c r="Q77" i="1"/>
  <c r="R77" i="1" s="1"/>
  <c r="U76" i="1"/>
  <c r="R76" i="1"/>
  <c r="U75" i="1"/>
  <c r="T75" i="1"/>
  <c r="S75" i="1"/>
  <c r="R75" i="1"/>
  <c r="Q75" i="1"/>
  <c r="U74" i="1"/>
  <c r="R74" i="1"/>
  <c r="V74" i="1" s="1"/>
  <c r="V73" i="1"/>
  <c r="U73" i="1"/>
  <c r="T73" i="1"/>
  <c r="S73" i="1"/>
  <c r="Q73" i="1"/>
  <c r="R73" i="1" s="1"/>
  <c r="W73" i="1" s="1"/>
  <c r="U72" i="1"/>
  <c r="R72" i="1"/>
  <c r="V71" i="1"/>
  <c r="W71" i="1" s="1"/>
  <c r="U71" i="1"/>
  <c r="R71" i="1"/>
  <c r="U70" i="1"/>
  <c r="R70" i="1"/>
  <c r="V69" i="1"/>
  <c r="W69" i="1" s="1"/>
  <c r="U69" i="1"/>
  <c r="R69" i="1"/>
  <c r="U68" i="1"/>
  <c r="R68" i="1"/>
  <c r="V67" i="1"/>
  <c r="W67" i="1" s="1"/>
  <c r="U67" i="1"/>
  <c r="R67" i="1"/>
  <c r="U66" i="1"/>
  <c r="R66" i="1"/>
  <c r="V65" i="1"/>
  <c r="W65" i="1" s="1"/>
  <c r="U65" i="1"/>
  <c r="R65" i="1"/>
  <c r="U64" i="1"/>
  <c r="R64" i="1"/>
  <c r="V63" i="1"/>
  <c r="W63" i="1" s="1"/>
  <c r="U63" i="1"/>
  <c r="R63" i="1"/>
  <c r="U62" i="1"/>
  <c r="R62" i="1"/>
  <c r="V61" i="1"/>
  <c r="W61" i="1" s="1"/>
  <c r="U61" i="1"/>
  <c r="R61" i="1"/>
  <c r="U60" i="1"/>
  <c r="R60" i="1"/>
  <c r="V59" i="1"/>
  <c r="W59" i="1" s="1"/>
  <c r="U59" i="1"/>
  <c r="R59" i="1"/>
  <c r="U58" i="1"/>
  <c r="R58" i="1"/>
  <c r="V57" i="1"/>
  <c r="W57" i="1" s="1"/>
  <c r="U57" i="1"/>
  <c r="R57" i="1"/>
  <c r="U56" i="1"/>
  <c r="R56" i="1"/>
  <c r="V55" i="1"/>
  <c r="W55" i="1" s="1"/>
  <c r="U55" i="1"/>
  <c r="R55" i="1"/>
  <c r="U54" i="1"/>
  <c r="R54" i="1"/>
  <c r="V53" i="1"/>
  <c r="W53" i="1" s="1"/>
  <c r="U53" i="1"/>
  <c r="R53" i="1"/>
  <c r="U52" i="1"/>
  <c r="R52" i="1"/>
  <c r="V51" i="1"/>
  <c r="W51" i="1" s="1"/>
  <c r="U51" i="1"/>
  <c r="R51" i="1"/>
  <c r="U50" i="1"/>
  <c r="R50" i="1"/>
  <c r="V49" i="1"/>
  <c r="W49" i="1" s="1"/>
  <c r="U49" i="1"/>
  <c r="R49" i="1"/>
  <c r="U48" i="1"/>
  <c r="R48" i="1"/>
  <c r="V47" i="1"/>
  <c r="W47" i="1" s="1"/>
  <c r="U47" i="1"/>
  <c r="R47" i="1"/>
  <c r="U46" i="1"/>
  <c r="T46" i="1"/>
  <c r="S46" i="1"/>
  <c r="R46" i="1"/>
  <c r="Q46" i="1"/>
  <c r="U45" i="1"/>
  <c r="R45" i="1"/>
  <c r="V44" i="1"/>
  <c r="W44" i="1" s="1"/>
  <c r="U44" i="1"/>
  <c r="R44" i="1"/>
  <c r="U43" i="1"/>
  <c r="R43" i="1"/>
  <c r="U42" i="1"/>
  <c r="V42" i="1" s="1"/>
  <c r="W42" i="1" s="1"/>
  <c r="R42" i="1"/>
  <c r="V41" i="1"/>
  <c r="U41" i="1"/>
  <c r="R41" i="1"/>
  <c r="V40" i="1"/>
  <c r="W40" i="1" s="1"/>
  <c r="U40" i="1"/>
  <c r="R40" i="1"/>
  <c r="U39" i="1"/>
  <c r="R39" i="1"/>
  <c r="V39" i="1" s="1"/>
  <c r="U38" i="1"/>
  <c r="V38" i="1" s="1"/>
  <c r="W38" i="1" s="1"/>
  <c r="R38" i="1"/>
  <c r="V37" i="1"/>
  <c r="U37" i="1"/>
  <c r="R37" i="1"/>
  <c r="U36" i="1"/>
  <c r="V36" i="1" s="1"/>
  <c r="W36" i="1" s="1"/>
  <c r="R36" i="1"/>
  <c r="U35" i="1"/>
  <c r="R35" i="1"/>
  <c r="W34" i="1"/>
  <c r="V34" i="1"/>
  <c r="U34" i="1"/>
  <c r="R34" i="1"/>
  <c r="U33" i="1"/>
  <c r="T33" i="1"/>
  <c r="S33" i="1"/>
  <c r="R33" i="1"/>
  <c r="V33" i="1" s="1"/>
  <c r="Q33" i="1"/>
  <c r="U32" i="1"/>
  <c r="R32" i="1"/>
  <c r="U31" i="1"/>
  <c r="R31" i="1"/>
  <c r="V31" i="1" s="1"/>
  <c r="W31" i="1" s="1"/>
  <c r="U30" i="1"/>
  <c r="R30" i="1"/>
  <c r="U29" i="1"/>
  <c r="V29" i="1" s="1"/>
  <c r="R29" i="1"/>
  <c r="W29" i="1" s="1"/>
  <c r="U28" i="1"/>
  <c r="R28" i="1"/>
  <c r="W27" i="1"/>
  <c r="V27" i="1"/>
  <c r="U27" i="1"/>
  <c r="R27" i="1"/>
  <c r="U26" i="1"/>
  <c r="R26" i="1"/>
  <c r="V26" i="1" s="1"/>
  <c r="V25" i="1"/>
  <c r="U25" i="1"/>
  <c r="T25" i="1"/>
  <c r="S25" i="1"/>
  <c r="R25" i="1"/>
  <c r="W25" i="1" s="1"/>
  <c r="Q25" i="1"/>
  <c r="U24" i="1"/>
  <c r="R24" i="1"/>
  <c r="V24" i="1" s="1"/>
  <c r="W24" i="1" s="1"/>
  <c r="U23" i="1"/>
  <c r="T23" i="1"/>
  <c r="S23" i="1"/>
  <c r="R23" i="1"/>
  <c r="V23" i="1" s="1"/>
  <c r="Q23" i="1"/>
  <c r="W22" i="1"/>
  <c r="V22" i="1"/>
  <c r="U22" i="1"/>
  <c r="R22" i="1"/>
  <c r="U21" i="1"/>
  <c r="T21" i="1"/>
  <c r="S21" i="1"/>
  <c r="R21" i="1"/>
  <c r="V21" i="1" s="1"/>
  <c r="W21" i="1" s="1"/>
  <c r="Q21" i="1"/>
  <c r="U20" i="1"/>
  <c r="R20" i="1"/>
  <c r="V20" i="1" s="1"/>
  <c r="V19" i="1"/>
  <c r="W19" i="1" s="1"/>
  <c r="U19" i="1"/>
  <c r="R19" i="1"/>
  <c r="U18" i="1"/>
  <c r="R18" i="1"/>
  <c r="V18" i="1" s="1"/>
  <c r="V17" i="1"/>
  <c r="W17" i="1" s="1"/>
  <c r="U17" i="1"/>
  <c r="R17" i="1"/>
  <c r="U16" i="1"/>
  <c r="T16" i="1"/>
  <c r="S16" i="1"/>
  <c r="Q16" i="1"/>
  <c r="R16" i="1" s="1"/>
  <c r="U15" i="1"/>
  <c r="R15" i="1"/>
  <c r="U14" i="1"/>
  <c r="R14" i="1"/>
  <c r="V14" i="1" s="1"/>
  <c r="V13" i="1"/>
  <c r="U13" i="1"/>
  <c r="R13" i="1"/>
  <c r="U12" i="1"/>
  <c r="R12" i="1"/>
  <c r="U11" i="1"/>
  <c r="V11" i="1" s="1"/>
  <c r="T11" i="1"/>
  <c r="S11" i="1"/>
  <c r="R11" i="1"/>
  <c r="Q11" i="1"/>
  <c r="U10" i="1"/>
  <c r="R10" i="1"/>
  <c r="V10" i="1" s="1"/>
  <c r="U9" i="1"/>
  <c r="R9" i="1"/>
  <c r="V9" i="1" s="1"/>
  <c r="W9" i="1" s="1"/>
  <c r="U8" i="1"/>
  <c r="R8" i="1"/>
  <c r="V8" i="1" s="1"/>
  <c r="V7" i="1"/>
  <c r="W7" i="1" s="1"/>
  <c r="U7" i="1"/>
  <c r="R7" i="1"/>
  <c r="U6" i="1"/>
  <c r="R6" i="1"/>
  <c r="V6" i="1" s="1"/>
  <c r="U5" i="1"/>
  <c r="V5" i="1" s="1"/>
  <c r="W5" i="1" s="1"/>
  <c r="R5" i="1"/>
  <c r="U4" i="1"/>
  <c r="R4" i="1"/>
  <c r="U3" i="1"/>
  <c r="R3" i="1"/>
  <c r="U2" i="1"/>
  <c r="R2" i="1"/>
  <c r="V2" i="1" s="1"/>
  <c r="W93" i="1" l="1"/>
  <c r="S16" i="2"/>
  <c r="T16" i="2" s="1"/>
  <c r="V16" i="1"/>
  <c r="W16" i="1"/>
  <c r="S19" i="2"/>
  <c r="T19" i="2" s="1"/>
  <c r="S24" i="2"/>
  <c r="T24" i="2" s="1"/>
  <c r="W54" i="1"/>
  <c r="V77" i="1"/>
  <c r="W77" i="1" s="1"/>
  <c r="V95" i="1"/>
  <c r="W95" i="1" s="1"/>
  <c r="W82" i="1"/>
  <c r="V82" i="1"/>
  <c r="T20" i="2"/>
  <c r="V3" i="1"/>
  <c r="W3" i="1" s="1"/>
  <c r="V28" i="1"/>
  <c r="W28" i="1" s="1"/>
  <c r="W35" i="1"/>
  <c r="T7" i="2"/>
  <c r="T13" i="2"/>
  <c r="S28" i="2"/>
  <c r="T28" i="2" s="1"/>
  <c r="S36" i="2"/>
  <c r="T36" i="2" s="1"/>
  <c r="S44" i="2"/>
  <c r="T44" i="2" s="1"/>
  <c r="S79" i="2"/>
  <c r="T79" i="2" s="1"/>
  <c r="T96" i="3"/>
  <c r="S14" i="2"/>
  <c r="T14" i="2" s="1"/>
  <c r="T57" i="2"/>
  <c r="S57" i="2"/>
  <c r="T99" i="2"/>
  <c r="S99" i="2"/>
  <c r="T36" i="3"/>
  <c r="V4" i="1"/>
  <c r="W4" i="1" s="1"/>
  <c r="W8" i="1"/>
  <c r="V12" i="1"/>
  <c r="W12" i="1" s="1"/>
  <c r="W14" i="1"/>
  <c r="V35" i="1"/>
  <c r="T26" i="2"/>
  <c r="S26" i="2"/>
  <c r="S34" i="2"/>
  <c r="T34" i="2" s="1"/>
  <c r="T42" i="2"/>
  <c r="S42" i="2"/>
  <c r="S50" i="2"/>
  <c r="T50" i="2" s="1"/>
  <c r="S64" i="2"/>
  <c r="T64" i="2" s="1"/>
  <c r="S75" i="2"/>
  <c r="T75" i="2" s="1"/>
  <c r="S77" i="2"/>
  <c r="T77" i="2" s="1"/>
  <c r="T85" i="2"/>
  <c r="T82" i="3"/>
  <c r="W10" i="1"/>
  <c r="S20" i="2"/>
  <c r="S22" i="2"/>
  <c r="T22" i="2" s="1"/>
  <c r="T55" i="2"/>
  <c r="S55" i="2"/>
  <c r="T2" i="3"/>
  <c r="S10" i="3"/>
  <c r="T10" i="3" s="1"/>
  <c r="T12" i="3"/>
  <c r="T90" i="3"/>
  <c r="S90" i="3"/>
  <c r="T94" i="3"/>
  <c r="V46" i="1"/>
  <c r="W46" i="1" s="1"/>
  <c r="V48" i="1"/>
  <c r="W48" i="1" s="1"/>
  <c r="V50" i="1"/>
  <c r="W50" i="1" s="1"/>
  <c r="V52" i="1"/>
  <c r="W52" i="1" s="1"/>
  <c r="V54" i="1"/>
  <c r="V56" i="1"/>
  <c r="W56" i="1" s="1"/>
  <c r="V58" i="1"/>
  <c r="W58" i="1" s="1"/>
  <c r="V60" i="1"/>
  <c r="W60" i="1" s="1"/>
  <c r="V62" i="1"/>
  <c r="W62" i="1" s="1"/>
  <c r="V64" i="1"/>
  <c r="W64" i="1" s="1"/>
  <c r="V66" i="1"/>
  <c r="W66" i="1" s="1"/>
  <c r="V68" i="1"/>
  <c r="W68" i="1" s="1"/>
  <c r="V70" i="1"/>
  <c r="W70" i="1" s="1"/>
  <c r="V72" i="1"/>
  <c r="W72" i="1" s="1"/>
  <c r="W80" i="1"/>
  <c r="W13" i="1"/>
  <c r="W18" i="1"/>
  <c r="W20" i="1"/>
  <c r="V32" i="1"/>
  <c r="W32" i="1" s="1"/>
  <c r="S32" i="2"/>
  <c r="T32" i="2" s="1"/>
  <c r="S40" i="2"/>
  <c r="T40" i="2" s="1"/>
  <c r="T48" i="2"/>
  <c r="S48" i="2"/>
  <c r="T78" i="3"/>
  <c r="S78" i="3"/>
  <c r="W26" i="1"/>
  <c r="W6" i="1"/>
  <c r="W11" i="1"/>
  <c r="W2" i="1"/>
  <c r="V15" i="1"/>
  <c r="W15" i="1" s="1"/>
  <c r="W23" i="1"/>
  <c r="W41" i="1"/>
  <c r="V45" i="1"/>
  <c r="W45" i="1" s="1"/>
  <c r="W74" i="1"/>
  <c r="V76" i="1"/>
  <c r="W76" i="1" s="1"/>
  <c r="W78" i="1"/>
  <c r="V80" i="1"/>
  <c r="V91" i="1"/>
  <c r="W91" i="1" s="1"/>
  <c r="W97" i="1"/>
  <c r="T17" i="2"/>
  <c r="S51" i="2"/>
  <c r="T51" i="2" s="1"/>
  <c r="S53" i="2"/>
  <c r="T53" i="2" s="1"/>
  <c r="S61" i="2"/>
  <c r="T61" i="2" s="1"/>
  <c r="S8" i="3"/>
  <c r="T8" i="3" s="1"/>
  <c r="T18" i="3"/>
  <c r="V30" i="1"/>
  <c r="W30" i="1" s="1"/>
  <c r="W39" i="1"/>
  <c r="V43" i="1"/>
  <c r="W43" i="1" s="1"/>
  <c r="V89" i="1"/>
  <c r="W89" i="1" s="1"/>
  <c r="T11" i="2"/>
  <c r="T30" i="2"/>
  <c r="S30" i="2"/>
  <c r="S38" i="2"/>
  <c r="T38" i="2" s="1"/>
  <c r="S46" i="2"/>
  <c r="T46" i="2" s="1"/>
  <c r="T68" i="2"/>
  <c r="T93" i="2"/>
  <c r="T32" i="3"/>
  <c r="S32" i="3"/>
  <c r="S47" i="3"/>
  <c r="T47" i="3" s="1"/>
  <c r="T49" i="3"/>
  <c r="T101" i="3"/>
  <c r="W33" i="1"/>
  <c r="W37" i="1"/>
  <c r="V75" i="1"/>
  <c r="W75" i="1" s="1"/>
  <c r="S59" i="2"/>
  <c r="T59" i="2" s="1"/>
  <c r="T62" i="2"/>
  <c r="T66" i="2"/>
  <c r="S83" i="2"/>
  <c r="T83" i="2" s="1"/>
  <c r="T87" i="2"/>
  <c r="T16" i="3"/>
  <c r="T44" i="3"/>
  <c r="S99" i="3"/>
  <c r="T99" i="3" s="1"/>
  <c r="T95" i="2"/>
  <c r="T20" i="3"/>
  <c r="T92" i="3"/>
  <c r="T98" i="3"/>
  <c r="S80" i="2"/>
  <c r="T80" i="2" s="1"/>
  <c r="S82" i="2"/>
  <c r="T82" i="2" s="1"/>
  <c r="S9" i="3"/>
  <c r="T9" i="3" s="1"/>
  <c r="S36" i="3"/>
  <c r="S38" i="3"/>
  <c r="T38" i="3" s="1"/>
  <c r="S40" i="3"/>
  <c r="T40" i="3" s="1"/>
  <c r="S42" i="3"/>
  <c r="T42" i="3" s="1"/>
  <c r="S44" i="3"/>
  <c r="S46" i="3"/>
  <c r="T46" i="3" s="1"/>
  <c r="S87" i="3"/>
  <c r="T87" i="3" s="1"/>
  <c r="S89" i="3"/>
  <c r="T89" i="3" s="1"/>
  <c r="S100" i="2"/>
  <c r="T100" i="2" s="1"/>
  <c r="S2" i="3"/>
  <c r="S4" i="3"/>
  <c r="T4" i="3" s="1"/>
  <c r="S6" i="3"/>
  <c r="T6" i="3" s="1"/>
  <c r="S33" i="3"/>
  <c r="T33" i="3" s="1"/>
  <c r="S35" i="3"/>
  <c r="T35" i="3" s="1"/>
  <c r="S80" i="3"/>
  <c r="T80" i="3" s="1"/>
  <c r="S82" i="3"/>
  <c r="S84" i="3"/>
  <c r="T84" i="3" s="1"/>
  <c r="S86" i="3"/>
  <c r="T86" i="3" s="1"/>
</calcChain>
</file>

<file path=xl/sharedStrings.xml><?xml version="1.0" encoding="utf-8"?>
<sst xmlns="http://schemas.openxmlformats.org/spreadsheetml/2006/main" count="3927" uniqueCount="2184">
  <si>
    <t>CHART_ID</t>
  </si>
  <si>
    <t>SONG_ID</t>
  </si>
  <si>
    <t>RANK</t>
  </si>
  <si>
    <t>ARTIST</t>
  </si>
  <si>
    <t>ARTIST_ROLE</t>
  </si>
  <si>
    <t>TITLE</t>
  </si>
  <si>
    <t>SONG_SALES</t>
  </si>
  <si>
    <t>AUDIO_ADSUPPORTED_STREAMS</t>
  </si>
  <si>
    <t>AUDIO_PREMIUM_STREAMS</t>
  </si>
  <si>
    <t>WEIGHTED_AUDIO</t>
  </si>
  <si>
    <t>TOTAL_AUDIO</t>
  </si>
  <si>
    <t>VIDEO_ADSUPPORTED_STREAMS</t>
  </si>
  <si>
    <t>VIDEO_PREMIUM_STREAMS</t>
  </si>
  <si>
    <t>WEIGHTED_VIDEO</t>
  </si>
  <si>
    <t>TOTAL_VIDEO</t>
  </si>
  <si>
    <t>WEIGHTED_SONG_SALES</t>
  </si>
  <si>
    <t>Radio Impact Col</t>
  </si>
  <si>
    <t>Radio Weighted</t>
  </si>
  <si>
    <t>Played Radio Col</t>
  </si>
  <si>
    <t>Top Radio Col</t>
  </si>
  <si>
    <t>Consumption</t>
  </si>
  <si>
    <t>Tot w/ Radio</t>
  </si>
  <si>
    <t>Radio %</t>
  </si>
  <si>
    <t>TOTAL</t>
  </si>
  <si>
    <t>WEEK_ID</t>
  </si>
  <si>
    <t>MC_SONG_ID</t>
  </si>
  <si>
    <t>CR01207</t>
  </si>
  <si>
    <t>SG6DB7DC4473224CAB9446F17C90495D30</t>
  </si>
  <si>
    <t>ARIA VEGA, Ryan Castro</t>
  </si>
  <si>
    <t>Artist_Name: ARIA VEGA Artist_Role: Main Artist</t>
  </si>
  <si>
    <t>CHÉVERE (premium_remix)</t>
  </si>
  <si>
    <t>0</t>
  </si>
  <si>
    <t>424222</t>
  </si>
  <si>
    <t>1037187</t>
  </si>
  <si>
    <t>1461409</t>
  </si>
  <si>
    <t>991</t>
  </si>
  <si>
    <t>6090</t>
  </si>
  <si>
    <t>7081</t>
  </si>
  <si>
    <t>1093302</t>
  </si>
  <si>
    <t>202622</t>
  </si>
  <si>
    <t>303759568,307237762,307555229</t>
  </si>
  <si>
    <t>SGC77A35FC1C264A2CBB7D1F846D736F6F</t>
  </si>
  <si>
    <t>Kris R.</t>
  </si>
  <si>
    <t>Artist_Name: Kris R. Artist_Role: Main Artist</t>
  </si>
  <si>
    <t>GANAS</t>
  </si>
  <si>
    <t>1035874</t>
  </si>
  <si>
    <t>1238046</t>
  </si>
  <si>
    <t>2273920</t>
  </si>
  <si>
    <t>1359914</t>
  </si>
  <si>
    <t>303543757</t>
  </si>
  <si>
    <t>SG1E2F4BC34150467EAB07378E58B69995</t>
  </si>
  <si>
    <t>BTS</t>
  </si>
  <si>
    <t>Artist_Name: BTS Artist_Role: Main Artist</t>
  </si>
  <si>
    <t>SWIM</t>
  </si>
  <si>
    <t>414032</t>
  </si>
  <si>
    <t>908268</t>
  </si>
  <si>
    <t>1322300</t>
  </si>
  <si>
    <t>2717</t>
  </si>
  <si>
    <t>8489</t>
  </si>
  <si>
    <t>11206</t>
  </si>
  <si>
    <t>965787</t>
  </si>
  <si>
    <t>304395153</t>
  </si>
  <si>
    <t>SG79BA215194DA49D3BA6637FB950394E1</t>
  </si>
  <si>
    <t>Grupo Firme</t>
  </si>
  <si>
    <t>Artist_Name: Grupo Firme Artist_Role: Main Artist</t>
  </si>
  <si>
    <t>El Beneficio De La Duda</t>
  </si>
  <si>
    <t>335199</t>
  </si>
  <si>
    <t>635396</t>
  </si>
  <si>
    <t>970595</t>
  </si>
  <si>
    <t>674831</t>
  </si>
  <si>
    <t>241935306</t>
  </si>
  <si>
    <t>SGC0FB77004F644614998D9EF9A71475CE</t>
  </si>
  <si>
    <t>Maisak, Feid, Maluma</t>
  </si>
  <si>
    <t>Artist_Name: Maisak Artist_Role: Main Artist;Artist_Name: Feid Artist_Role: Main Artist;Artist_Name: Maluma Artist_Role: Main Artist</t>
  </si>
  <si>
    <t>Te Entiendo - Remix</t>
  </si>
  <si>
    <t>241179</t>
  </si>
  <si>
    <t>692857</t>
  </si>
  <si>
    <t>934036</t>
  </si>
  <si>
    <t>511</t>
  </si>
  <si>
    <t>13370</t>
  </si>
  <si>
    <t>13881</t>
  </si>
  <si>
    <t>734661</t>
  </si>
  <si>
    <t>311507022</t>
  </si>
  <si>
    <t>SG227718B721F14A2AB50C1B640CD92E38</t>
  </si>
  <si>
    <t>Ryan Castro, Kapo, Gangsta</t>
  </si>
  <si>
    <t>Artist_Name: Kapo Artist_Role: Main Artist;Artist_Name: Ryan Castro Artist_Role: Main Artist;Artist_Name: Gangsta Artist_Role: Main Artist</t>
  </si>
  <si>
    <t>LA VILLA</t>
  </si>
  <si>
    <t>313951</t>
  </si>
  <si>
    <t>680934</t>
  </si>
  <si>
    <t>994885</t>
  </si>
  <si>
    <t>1872</t>
  </si>
  <si>
    <t>18024</t>
  </si>
  <si>
    <t>19896</t>
  </si>
  <si>
    <t>736113</t>
  </si>
  <si>
    <t>291235786</t>
  </si>
  <si>
    <t>SGCC194B9FE78F43438A07B7154C2EE407</t>
  </si>
  <si>
    <t>W Sound, Kris R., Ovy On The Drums</t>
  </si>
  <si>
    <t>Artist_Name: Ovy On The Drums Artist_Role: Main Artist;Artist_Name: W Sound, Kris R. &amp; Ovy On The Drums Artist_Role: Collaboration;Artist_Name: Kris R. Artist_Role: Main Artist</t>
  </si>
  <si>
    <t>Pico Y Chao (W Sound 08)</t>
  </si>
  <si>
    <t>651894</t>
  </si>
  <si>
    <t>840515</t>
  </si>
  <si>
    <t>1492409</t>
  </si>
  <si>
    <t>917208</t>
  </si>
  <si>
    <t>SG802E6E18E47142BD8715BE4FD5DE8379</t>
  </si>
  <si>
    <t>Shakira, Burna Boy</t>
  </si>
  <si>
    <t>Artist_Name: Burna Boy Artist_Role: Main Artist;Artist_Name: Shakira Artist_Role: Main Artist</t>
  </si>
  <si>
    <t>Dai Dai</t>
  </si>
  <si>
    <t>162006</t>
  </si>
  <si>
    <t>364412</t>
  </si>
  <si>
    <t>526418</t>
  </si>
  <si>
    <t>4857</t>
  </si>
  <si>
    <t>21242</t>
  </si>
  <si>
    <t>26099</t>
  </si>
  <si>
    <t>405285</t>
  </si>
  <si>
    <t>311427902</t>
  </si>
  <si>
    <t>SG8098E14FFC4E45F9979B4C2D14C34973</t>
  </si>
  <si>
    <t>Lenin Ramírez</t>
  </si>
  <si>
    <t>Artist_Name: Lenin Ramírez Artist_Role: Main Artist</t>
  </si>
  <si>
    <t>Todo Lo Fue</t>
  </si>
  <si>
    <t>443893</t>
  </si>
  <si>
    <t>725329</t>
  </si>
  <si>
    <t>1169222</t>
  </si>
  <si>
    <t>1402</t>
  </si>
  <si>
    <t>13718</t>
  </si>
  <si>
    <t>15120</t>
  </si>
  <si>
    <t>791435</t>
  </si>
  <si>
    <t>241540805</t>
  </si>
  <si>
    <t>SG38AE14EB926847DA8FB22DC2403223A4</t>
  </si>
  <si>
    <t>Morat, Silvestre Dangond</t>
  </si>
  <si>
    <t>Artist_Name: Silvestre Dangond Artist_Role: Main Artist;Artist_Name: Morat Artist_Role: Main Artist;Artist_Name: Morat &amp; Silvestre Dangond Artist_Role: Collaboration</t>
  </si>
  <si>
    <t>Lo Poco Que Yo Quiero</t>
  </si>
  <si>
    <t>35593</t>
  </si>
  <si>
    <t>97929</t>
  </si>
  <si>
    <t>133522</t>
  </si>
  <si>
    <t>102116</t>
  </si>
  <si>
    <t>SG68922FF5BB66453CB2A8BC4185F9C084</t>
  </si>
  <si>
    <t>Jay Wheeler</t>
  </si>
  <si>
    <t>Artist_Name: Jay Wheeler Artist_Role: Main Artist</t>
  </si>
  <si>
    <t>De Lejitos</t>
  </si>
  <si>
    <t>132952</t>
  </si>
  <si>
    <t>450923</t>
  </si>
  <si>
    <t>583875</t>
  </si>
  <si>
    <t>4916</t>
  </si>
  <si>
    <t>33280</t>
  </si>
  <si>
    <t>38196</t>
  </si>
  <si>
    <t>500422</t>
  </si>
  <si>
    <t>311145409</t>
  </si>
  <si>
    <t>SG3EA375B2DAD34052AC4D3D2B33199669</t>
  </si>
  <si>
    <t>Luister La Voz, maikol el insoportable</t>
  </si>
  <si>
    <t>Artist_Name: Luister La Voz Artist_Role: Main Artist</t>
  </si>
  <si>
    <t>Ozono</t>
  </si>
  <si>
    <t>309549</t>
  </si>
  <si>
    <t>389916</t>
  </si>
  <si>
    <t>699465</t>
  </si>
  <si>
    <t>1504</t>
  </si>
  <si>
    <t>7660</t>
  </si>
  <si>
    <t>9164</t>
  </si>
  <si>
    <t>434171</t>
  </si>
  <si>
    <t>306372765,306616005</t>
  </si>
  <si>
    <t>SGFC6DC9AEEFB24078B253B538C45546FF</t>
  </si>
  <si>
    <t>Mr Plata, El Americano 4KT</t>
  </si>
  <si>
    <t>Artist_Name: El Americano 4KT Artist_Role: Main Artist</t>
  </si>
  <si>
    <t>Las Muñequitas</t>
  </si>
  <si>
    <t>501458</t>
  </si>
  <si>
    <t>455843</t>
  </si>
  <si>
    <t>957301</t>
  </si>
  <si>
    <t>514838</t>
  </si>
  <si>
    <t>296396837</t>
  </si>
  <si>
    <t>SG179E5C757FC84093A7A2B826505DF62D</t>
  </si>
  <si>
    <t>ARIA VEGA</t>
  </si>
  <si>
    <t>CULE POCO (sirena_besarico_costeña)</t>
  </si>
  <si>
    <t>207445</t>
  </si>
  <si>
    <t>549645</t>
  </si>
  <si>
    <t>757090</t>
  </si>
  <si>
    <t>518</t>
  </si>
  <si>
    <t>10651</t>
  </si>
  <si>
    <t>11169</t>
  </si>
  <si>
    <t>584762</t>
  </si>
  <si>
    <t>SG630FBDC0F66C46B88B8018CDE3438E32</t>
  </si>
  <si>
    <t>J Balvin, Ryan Castro</t>
  </si>
  <si>
    <t>Artist_Name: J Balvin Artist_Role: Main Artist;Artist_Name: J Balvin &amp; Ryan Castro Artist_Role: Collaboration;Artist_Name: Ryan Castro Artist_Role: Main Artist</t>
  </si>
  <si>
    <t>Pal Agua</t>
  </si>
  <si>
    <t>61126</t>
  </si>
  <si>
    <t>186569</t>
  </si>
  <si>
    <t>247695</t>
  </si>
  <si>
    <t>208</t>
  </si>
  <si>
    <t>6826</t>
  </si>
  <si>
    <t>7034</t>
  </si>
  <si>
    <t>200610</t>
  </si>
  <si>
    <t>SGD5C03F9C7ACE4222AC0F79F481D6207C</t>
  </si>
  <si>
    <t>Omar Courtz</t>
  </si>
  <si>
    <t>Artist_Name: Omar Courtz Artist_Role: Main Artist</t>
  </si>
  <si>
    <t>KOKO</t>
  </si>
  <si>
    <t>246452</t>
  </si>
  <si>
    <t>557754</t>
  </si>
  <si>
    <t>804206</t>
  </si>
  <si>
    <t>586748</t>
  </si>
  <si>
    <t>304688473</t>
  </si>
  <si>
    <t>SG64B5C780E1B44549BDF71DD6E30AD291</t>
  </si>
  <si>
    <t>Blessd, Anuel AA, Yan Block, Luar La L, Kris R., ROA</t>
  </si>
  <si>
    <t>Artist_Name: Blessd Artist_Role: Main Artist</t>
  </si>
  <si>
    <t>YOGURCITO REMIX (feat. Kris R., ROA)</t>
  </si>
  <si>
    <t>689381</t>
  </si>
  <si>
    <t>729164</t>
  </si>
  <si>
    <t>1418545</t>
  </si>
  <si>
    <t>810268</t>
  </si>
  <si>
    <t>239332048,287359595</t>
  </si>
  <si>
    <t>SG0DA06D0E87114BEEAB7F1E0AF926226E</t>
  </si>
  <si>
    <t>Feid</t>
  </si>
  <si>
    <t>Artist_Name: Feid Artist_Role: Main Artist</t>
  </si>
  <si>
    <t>Que vuelta vox</t>
  </si>
  <si>
    <t>121714</t>
  </si>
  <si>
    <t>476271</t>
  </si>
  <si>
    <t>597985</t>
  </si>
  <si>
    <t>291</t>
  </si>
  <si>
    <t>9389</t>
  </si>
  <si>
    <t>9680</t>
  </si>
  <si>
    <t>500013</t>
  </si>
  <si>
    <t>310940840</t>
  </si>
  <si>
    <t>SGC4AEFB4D8C214AC6AE63F0499EA9B815</t>
  </si>
  <si>
    <t>W Sound, Beéle, Ovy On The Drums</t>
  </si>
  <si>
    <t>Artist_Name: Beéle Artist_Role: Main Artist;Artist_Name: Ovy On The Drums Artist_Role: Main Artist;Artist_Name: W Sound Artist_Role: Main Artist</t>
  </si>
  <si>
    <t>La Plena (W Sound 05)</t>
  </si>
  <si>
    <t>309066</t>
  </si>
  <si>
    <t>598954</t>
  </si>
  <si>
    <t>908020</t>
  </si>
  <si>
    <t>602</t>
  </si>
  <si>
    <t>11427</t>
  </si>
  <si>
    <t>12029</t>
  </si>
  <si>
    <t>646813</t>
  </si>
  <si>
    <t>267788773,270249119,286252657</t>
  </si>
  <si>
    <t>SG4F186F20187D43BEB972F412D67B9298</t>
  </si>
  <si>
    <t>Kris R., GeezyDee</t>
  </si>
  <si>
    <t>TUKI TUKI</t>
  </si>
  <si>
    <t>724761</t>
  </si>
  <si>
    <t>709640</t>
  </si>
  <si>
    <t>1434401</t>
  </si>
  <si>
    <t>794906</t>
  </si>
  <si>
    <t>308256688</t>
  </si>
  <si>
    <t>SG7A76905D256C44D08155BD23317B23B1</t>
  </si>
  <si>
    <t>Blessd, Los Money Makers</t>
  </si>
  <si>
    <t>SUPERSTAR</t>
  </si>
  <si>
    <t>505807</t>
  </si>
  <si>
    <t>660627</t>
  </si>
  <si>
    <t>1166434</t>
  </si>
  <si>
    <t>720134</t>
  </si>
  <si>
    <t>SG6A328F4B906247B6956A5BD4303B630A</t>
  </si>
  <si>
    <t>Fonseca, Juanes</t>
  </si>
  <si>
    <t>Artist_Name: Fonseca Artist_Role: Main Artist;Artist_Name: Fonseca &amp; Juanes Artist_Role: Collaboration;Artist_Name: Juanes Artist_Role: Main Artist</t>
  </si>
  <si>
    <t>Antes que el tiempo se vaya</t>
  </si>
  <si>
    <t>26890</t>
  </si>
  <si>
    <t>82200</t>
  </si>
  <si>
    <t>109090</t>
  </si>
  <si>
    <t>148</t>
  </si>
  <si>
    <t>1575</t>
  </si>
  <si>
    <t>1723</t>
  </si>
  <si>
    <t>86956</t>
  </si>
  <si>
    <t>SG905432DA9B1C4DD2A209125EB5D226B5</t>
  </si>
  <si>
    <t>Luister La Voz</t>
  </si>
  <si>
    <t>La Maria</t>
  </si>
  <si>
    <t>413613</t>
  </si>
  <si>
    <t>473155</t>
  </si>
  <si>
    <t>886768</t>
  </si>
  <si>
    <t>3906</t>
  </si>
  <si>
    <t>1327</t>
  </si>
  <si>
    <t>5233</t>
  </si>
  <si>
    <t>523602</t>
  </si>
  <si>
    <t>91219570</t>
  </si>
  <si>
    <t>SGC0595655ACCB4C2591B454670494A6FF</t>
  </si>
  <si>
    <t>Reykon</t>
  </si>
  <si>
    <t>Artist_Name: Reykon Artist_Role: Main Artist</t>
  </si>
  <si>
    <t>La Culpa</t>
  </si>
  <si>
    <t>54885</t>
  </si>
  <si>
    <t>43652</t>
  </si>
  <si>
    <t>98537</t>
  </si>
  <si>
    <t>50109</t>
  </si>
  <si>
    <t>SG906FE0FE79E446C6AD64419739127FA7</t>
  </si>
  <si>
    <t>La Mejor Música</t>
  </si>
  <si>
    <t>81071</t>
  </si>
  <si>
    <t>384938</t>
  </si>
  <si>
    <t>466009</t>
  </si>
  <si>
    <t>394476</t>
  </si>
  <si>
    <t>SGC7D18895900B44CB84596256BE587AF3</t>
  </si>
  <si>
    <t>Bad Bunny</t>
  </si>
  <si>
    <t>Artist_Name: Bad Bunny Artist_Role: Main Artist</t>
  </si>
  <si>
    <t>BAILE INoLVIDABLE</t>
  </si>
  <si>
    <t>229194</t>
  </si>
  <si>
    <t>474062</t>
  </si>
  <si>
    <t>703256</t>
  </si>
  <si>
    <t>734</t>
  </si>
  <si>
    <t>8705</t>
  </si>
  <si>
    <t>9439</t>
  </si>
  <si>
    <t>509817</t>
  </si>
  <si>
    <t>182997704,263349434</t>
  </si>
  <si>
    <t>SG9DC41D7E3A594168917E632E906F09BD</t>
  </si>
  <si>
    <t>Blessd, Los Money Makers, Prodmonja</t>
  </si>
  <si>
    <t>Artist_Name: Blessd Artist_Role: Main Artist;Artist_Name: Los Money Makers Artist_Role: Main Artist</t>
  </si>
  <si>
    <t>NUEVA YORK</t>
  </si>
  <si>
    <t>473259</t>
  </si>
  <si>
    <t>526487</t>
  </si>
  <si>
    <t>999746</t>
  </si>
  <si>
    <t>582165</t>
  </si>
  <si>
    <t>279033916</t>
  </si>
  <si>
    <t>SG434BF7FABB1542EBAA2ED21908C94C71</t>
  </si>
  <si>
    <t>Ryan Castro, Dongo</t>
  </si>
  <si>
    <t>Artist_Name: Dongo Artist_Role: Main Artist;Artist_Name: Ryan Castro &amp; Dongo Artist_Role: Collaboration;Artist_Name: Ryan Castro Artist_Role: Main Artist</t>
  </si>
  <si>
    <t>SANKA</t>
  </si>
  <si>
    <t>175991</t>
  </si>
  <si>
    <t>422936</t>
  </si>
  <si>
    <t>598927</t>
  </si>
  <si>
    <t>443641</t>
  </si>
  <si>
    <t>277551885</t>
  </si>
  <si>
    <t>SGF9CC1936FF43407B827087C2DB1721F5</t>
  </si>
  <si>
    <t>Beéle</t>
  </si>
  <si>
    <t>Artist_Name: Beéle Artist_Role: Main Artist</t>
  </si>
  <si>
    <t>no tiene sentido</t>
  </si>
  <si>
    <t>229209</t>
  </si>
  <si>
    <t>439717</t>
  </si>
  <si>
    <t>668926</t>
  </si>
  <si>
    <t>447</t>
  </si>
  <si>
    <t>11015</t>
  </si>
  <si>
    <t>11462</t>
  </si>
  <si>
    <t>477751</t>
  </si>
  <si>
    <t>276757197,296717632</t>
  </si>
  <si>
    <t>SG7AB6F4AEFD43491B94B5653FF7DB19CE</t>
  </si>
  <si>
    <t>Yeison Jimenez, Luis Alfonso</t>
  </si>
  <si>
    <t>Artist_Name: Luis Alfonso Artist_Role: Main Artist;Artist_Name: Yeison Jiménez Artist_Role: Main Artist;Artist_Name: Yeison Jimenez &amp; Luis Alfonso Artist_Role: Collaboration</t>
  </si>
  <si>
    <t>Destino Final</t>
  </si>
  <si>
    <t>275404</t>
  </si>
  <si>
    <t>364341</t>
  </si>
  <si>
    <t>639745</t>
  </si>
  <si>
    <t>1106</t>
  </si>
  <si>
    <t>8830</t>
  </si>
  <si>
    <t>9936</t>
  </si>
  <si>
    <t>405701</t>
  </si>
  <si>
    <t>243997929</t>
  </si>
  <si>
    <t>SGD44E1E415C914579A7AA63BE22C9AF2C</t>
  </si>
  <si>
    <t>Blessd, Ovy On The Drums</t>
  </si>
  <si>
    <t>Artist_Name: Blessd &amp; Ovy On The Drums Artist_Role: Collaboration;Artist_Name: Blessd Artist_Role: Main Artist;Artist_Name: Ovy On The Drums Artist_Role: Main Artist</t>
  </si>
  <si>
    <t>AMISTA</t>
  </si>
  <si>
    <t>286337</t>
  </si>
  <si>
    <t>425800</t>
  </si>
  <si>
    <t>712137</t>
  </si>
  <si>
    <t>312</t>
  </si>
  <si>
    <t>8204</t>
  </si>
  <si>
    <t>8516</t>
  </si>
  <si>
    <t>467728</t>
  </si>
  <si>
    <t>274732923,292604988</t>
  </si>
  <si>
    <t>SG7108F7ED37CF4B05938F28645067A11F</t>
  </si>
  <si>
    <t>GeezyDee, Blessd, Prodmonja</t>
  </si>
  <si>
    <t>Artist_Name: GeezyDee Artist_Role: Main Artist;Artist_Name: Blessd Artist_Role: Main Artist</t>
  </si>
  <si>
    <t>OCTAVIO MESA</t>
  </si>
  <si>
    <t>268811</t>
  </si>
  <si>
    <t>515291</t>
  </si>
  <si>
    <t>784102</t>
  </si>
  <si>
    <t>1945</t>
  </si>
  <si>
    <t>21476</t>
  </si>
  <si>
    <t>23421</t>
  </si>
  <si>
    <t>568621</t>
  </si>
  <si>
    <t>SGA07373ED675A49E3BC3D88F04C3C1C3D</t>
  </si>
  <si>
    <t>Michael Jackson</t>
  </si>
  <si>
    <t>Artist_Name: Michael Jackson Artist_Role: Main Artist</t>
  </si>
  <si>
    <t>Billie Jean</t>
  </si>
  <si>
    <t>246061</t>
  </si>
  <si>
    <t>517152</t>
  </si>
  <si>
    <t>763213</t>
  </si>
  <si>
    <t>2139</t>
  </si>
  <si>
    <t>10854</t>
  </si>
  <si>
    <t>12993</t>
  </si>
  <si>
    <t>557206</t>
  </si>
  <si>
    <t>130711836,138615136,21236840,21437489,21453715,235730958,33008977,38025663,40396254,...</t>
  </si>
  <si>
    <t>SG3F7C50FEB39449EF91038A46C4B16E48</t>
  </si>
  <si>
    <t>Fuerza Regida, Grupo Frontera</t>
  </si>
  <si>
    <t>Artist_Name: Fuerza Regida Artist_Role: Main Artist;Artist_Name: Grupo Frontera Artist_Role: Main Artist</t>
  </si>
  <si>
    <t>COQUETA</t>
  </si>
  <si>
    <t>321370</t>
  </si>
  <si>
    <t>465007</t>
  </si>
  <si>
    <t>786377</t>
  </si>
  <si>
    <t>502815</t>
  </si>
  <si>
    <t>261128395,261666231</t>
  </si>
  <si>
    <t>SGDAE95369054E4CAEB3198058BB83B82F</t>
  </si>
  <si>
    <t>Kapo, Ryan Castro</t>
  </si>
  <si>
    <t>Artist_Name: Kapo &amp; Ryan Castro Artist_Role: Collaboration;Artist_Name: Kapo Artist_Role: Main Artist;Artist_Name: Ryan Castro Artist_Role: Main Artist</t>
  </si>
  <si>
    <t>DONDE</t>
  </si>
  <si>
    <t>182190</t>
  </si>
  <si>
    <t>387756</t>
  </si>
  <si>
    <t>569946</t>
  </si>
  <si>
    <t>362</t>
  </si>
  <si>
    <t>8663</t>
  </si>
  <si>
    <t>9025</t>
  </si>
  <si>
    <t>417896</t>
  </si>
  <si>
    <t>281482269</t>
  </si>
  <si>
    <t>SG8F0FC97D25164FF0AE999DF541DE4DDA</t>
  </si>
  <si>
    <t>DtMF</t>
  </si>
  <si>
    <t>222540</t>
  </si>
  <si>
    <t>375411</t>
  </si>
  <si>
    <t>597951</t>
  </si>
  <si>
    <t>401592</t>
  </si>
  <si>
    <t>264147926</t>
  </si>
  <si>
    <t>SG4E725CF1901D4FA1BA31413DB49714A0</t>
  </si>
  <si>
    <t>quédate</t>
  </si>
  <si>
    <t>223613</t>
  </si>
  <si>
    <t>424300</t>
  </si>
  <si>
    <t>647913</t>
  </si>
  <si>
    <t>19</t>
  </si>
  <si>
    <t>391</t>
  </si>
  <si>
    <t>410</t>
  </si>
  <si>
    <t>451000</t>
  </si>
  <si>
    <t>276757198,282157466</t>
  </si>
  <si>
    <t>SGF59D265D5B054086942EA5848773E67F</t>
  </si>
  <si>
    <t>El Bogueto, Anuel AA, Fuerza Regida, Yung Beef</t>
  </si>
  <si>
    <t>Artist_Name: El Bogueto Artist_Role: Main Artist;Artist_Name: Yung Beef Artist_Role: Main Artist;Artist_Name: Anuel AA Artist_Role: Featured Artist;Artist_Name: Fuerza Regida Artist_Role: Featured Artist</t>
  </si>
  <si>
    <t>Cuando No Era Cantante - Remix</t>
  </si>
  <si>
    <t>295140</t>
  </si>
  <si>
    <t>471207</t>
  </si>
  <si>
    <t>766347</t>
  </si>
  <si>
    <t>505929</t>
  </si>
  <si>
    <t>298551435</t>
  </si>
  <si>
    <t>SG10782051630D45D3A1D6BF769D8D2A20</t>
  </si>
  <si>
    <t>Blessd</t>
  </si>
  <si>
    <t>QUÉ LÍO</t>
  </si>
  <si>
    <t>292085</t>
  </si>
  <si>
    <t>494381</t>
  </si>
  <si>
    <t>786466</t>
  </si>
  <si>
    <t>528744</t>
  </si>
  <si>
    <t>SG6DFA9A23568E4CA2BEE7CB5038B30DD6</t>
  </si>
  <si>
    <t>Yan Block, Panda Black</t>
  </si>
  <si>
    <t>Artist_Name: Yan Block Artist_Role: Main Artist;Artist_Name: Black Panda Artist_Role: Featured Artist</t>
  </si>
  <si>
    <t>444</t>
  </si>
  <si>
    <t>443798</t>
  </si>
  <si>
    <t>436957</t>
  </si>
  <si>
    <t>880755</t>
  </si>
  <si>
    <t>1041</t>
  </si>
  <si>
    <t>11250</t>
  </si>
  <si>
    <t>12291</t>
  </si>
  <si>
    <t>500541</t>
  </si>
  <si>
    <t>236014701,237126938,291927690,292589684</t>
  </si>
  <si>
    <t>SG2F2FD7E002F74066B01F359770F900D7</t>
  </si>
  <si>
    <t>Herencia De Grandes</t>
  </si>
  <si>
    <t>Artist_Name: Herencia De Grandes Artist_Role: Main Artist</t>
  </si>
  <si>
    <t>Ya Borracho</t>
  </si>
  <si>
    <t>292623</t>
  </si>
  <si>
    <t>430087</t>
  </si>
  <si>
    <t>722710</t>
  </si>
  <si>
    <t>739</t>
  </si>
  <si>
    <t>10406</t>
  </si>
  <si>
    <t>11145</t>
  </si>
  <si>
    <t>475006</t>
  </si>
  <si>
    <t>293691500</t>
  </si>
  <si>
    <t>SG4D38264B29F14D038862CF5A776B6731</t>
  </si>
  <si>
    <t>Rels B</t>
  </si>
  <si>
    <t>Artist_Name: Rels B Artist_Role: Main Artist</t>
  </si>
  <si>
    <t>TU VAS SIN (fav)</t>
  </si>
  <si>
    <t>176509</t>
  </si>
  <si>
    <t>381186</t>
  </si>
  <si>
    <t>557695</t>
  </si>
  <si>
    <t>401952</t>
  </si>
  <si>
    <t>278250687</t>
  </si>
  <si>
    <t>SG8D0AECB073514587A4841402B5228A4C</t>
  </si>
  <si>
    <t>Beéle, Ovy On The Drums</t>
  </si>
  <si>
    <t>Artist_Name: Beéle Artist_Role: Main Artist;Artist_Name: Ovy On The Drums Artist_Role: Remix Artist</t>
  </si>
  <si>
    <t>MI REFE</t>
  </si>
  <si>
    <t>213482</t>
  </si>
  <si>
    <t>387591</t>
  </si>
  <si>
    <t>601073</t>
  </si>
  <si>
    <t>346</t>
  </si>
  <si>
    <t>8826</t>
  </si>
  <si>
    <t>9172</t>
  </si>
  <si>
    <t>421574</t>
  </si>
  <si>
    <t>256915328,257560068,261025838</t>
  </si>
  <si>
    <t>SG3AB7A2F830D24057BC632DDA0C4C97A8</t>
  </si>
  <si>
    <t>Ya Ice Dilan, Rey Tony, Helabusador, JipMusic Global, Dj Honda</t>
  </si>
  <si>
    <t>Artist_Name: Rey Tony Artist_Role: Main Artist;Artist_Name: Ya Ice Dilan, Rey Tony &amp; Helabusador Artist_Role: Collaboration</t>
  </si>
  <si>
    <t>Dichavate</t>
  </si>
  <si>
    <t>183521</t>
  </si>
  <si>
    <t>470931</t>
  </si>
  <si>
    <t>654452</t>
  </si>
  <si>
    <t>492522</t>
  </si>
  <si>
    <t>300583364</t>
  </si>
  <si>
    <t>SG3EEE82E66C1D4D1E8660EE6C0F2CD729</t>
  </si>
  <si>
    <t>J Balvin,  Ryan Castro, DJ Snake</t>
  </si>
  <si>
    <t>Artist_Name: J Balvin, Ryan Castro &amp; DJ Snake Artist_Role: Collaboration;Artist_Name: J Balvin Artist_Role: Main Artist;Artist_Name: Ryan Castro Artist_Role: Main Artist;Artist_Name: DJ Snake Artist_Role: Main Artist</t>
  </si>
  <si>
    <t>Tonto</t>
  </si>
  <si>
    <t>78131</t>
  </si>
  <si>
    <t>239474</t>
  </si>
  <si>
    <t>317605</t>
  </si>
  <si>
    <t>348</t>
  </si>
  <si>
    <t>4931</t>
  </si>
  <si>
    <t>5279</t>
  </si>
  <si>
    <t>253638</t>
  </si>
  <si>
    <t>307870193,308910788,308911070</t>
  </si>
  <si>
    <t>SGEDBDFFFB8AD04F6F8C5B41C84BDAB8F2</t>
  </si>
  <si>
    <t>Ovy On The Drums, Quevedo, Beéle</t>
  </si>
  <si>
    <t>Artist_Name: Beéle Artist_Role: Main Artist;Artist_Name: Ovy On The Drums Artist_Role: Main Artist;Artist_Name: Quevedo Artist_Role: Main Artist</t>
  </si>
  <si>
    <t>YO y TÚ</t>
  </si>
  <si>
    <t>156449</t>
  </si>
  <si>
    <t>317355</t>
  </si>
  <si>
    <t>473804</t>
  </si>
  <si>
    <t>243</t>
  </si>
  <si>
    <t>6865</t>
  </si>
  <si>
    <t>7108</t>
  </si>
  <si>
    <t>342655</t>
  </si>
  <si>
    <t>282865846</t>
  </si>
  <si>
    <t>SGDB9E88E42AE440BF8D9260802FAC6238</t>
  </si>
  <si>
    <t>top diesel</t>
  </si>
  <si>
    <t>151078</t>
  </si>
  <si>
    <t>347847</t>
  </si>
  <si>
    <t>498925</t>
  </si>
  <si>
    <t>3</t>
  </si>
  <si>
    <t>170</t>
  </si>
  <si>
    <t>173</t>
  </si>
  <si>
    <t>365791</t>
  </si>
  <si>
    <t>276757207,296717635</t>
  </si>
  <si>
    <t>SG54EBC4BDAA07409ABB6D58328C595D94</t>
  </si>
  <si>
    <t>Kapo</t>
  </si>
  <si>
    <t>Artist_Name: Kapo Artist_Role: Main Artist</t>
  </si>
  <si>
    <t>UWAIE</t>
  </si>
  <si>
    <t>226336</t>
  </si>
  <si>
    <t>407710</t>
  </si>
  <si>
    <t>634046</t>
  </si>
  <si>
    <t>465</t>
  </si>
  <si>
    <t>11997</t>
  </si>
  <si>
    <t>12462</t>
  </si>
  <si>
    <t>446390</t>
  </si>
  <si>
    <t>246796648,247477190</t>
  </si>
  <si>
    <t>SG069A6A0E069F4191B8DD8F12BBEC1FBB</t>
  </si>
  <si>
    <t>Ryan Castro</t>
  </si>
  <si>
    <t>Artist_Name: Ryan Castro Artist_Role: Main Artist</t>
  </si>
  <si>
    <t>Ojalá</t>
  </si>
  <si>
    <t>187141</t>
  </si>
  <si>
    <t>400504</t>
  </si>
  <si>
    <t>587645</t>
  </si>
  <si>
    <t>306</t>
  </si>
  <si>
    <t>7551</t>
  </si>
  <si>
    <t>7857</t>
  </si>
  <si>
    <t>430108</t>
  </si>
  <si>
    <t>276264531,277551720</t>
  </si>
  <si>
    <t>SG87AB43FB1DD54677A5AD13CA2D7F0260</t>
  </si>
  <si>
    <t>OHNANA</t>
  </si>
  <si>
    <t>157186</t>
  </si>
  <si>
    <t>310201</t>
  </si>
  <si>
    <t>467387</t>
  </si>
  <si>
    <t>205</t>
  </si>
  <si>
    <t>5487</t>
  </si>
  <si>
    <t>5692</t>
  </si>
  <si>
    <t>334204</t>
  </si>
  <si>
    <t>239782242,251196308,257574975</t>
  </si>
  <si>
    <t>SG26C542C61E35415D9D29DAB98D7B9CCF</t>
  </si>
  <si>
    <t>Kybba, Sean Paul, Ryan Castro, Busy Signal</t>
  </si>
  <si>
    <t>Artist_Name: Sean Paul Artist_Role: Main Artist;Artist_Name: Kybba Artist_Role: Main Artist;Artist_Name: Busy Signal Artist_Role: Main Artist</t>
  </si>
  <si>
    <t>Ba Ba Bad Remix</t>
  </si>
  <si>
    <t>159616</t>
  </si>
  <si>
    <t>297181</t>
  </si>
  <si>
    <t>456797</t>
  </si>
  <si>
    <t>315959</t>
  </si>
  <si>
    <t>256166359,260051793,282270112</t>
  </si>
  <si>
    <t>SGD744EE2BF77948CA8661B777A31AC768</t>
  </si>
  <si>
    <t>Danny Ocean, Kapo</t>
  </si>
  <si>
    <t>Artist_Name: Kapo Artist_Role: Main Artist;Artist_Name: Danny Ocean Artist_Role: Main Artist</t>
  </si>
  <si>
    <t>Imagínate</t>
  </si>
  <si>
    <t>162408</t>
  </si>
  <si>
    <t>330976</t>
  </si>
  <si>
    <t>493384</t>
  </si>
  <si>
    <t>270</t>
  </si>
  <si>
    <t>8400</t>
  </si>
  <si>
    <t>8670</t>
  </si>
  <si>
    <t>358515</t>
  </si>
  <si>
    <t>254907616</t>
  </si>
  <si>
    <t>SG6D30655556DF490B912B917F0802DB41</t>
  </si>
  <si>
    <t>POR SI MAÑANA NO ESTOY</t>
  </si>
  <si>
    <t>288000</t>
  </si>
  <si>
    <t>428301</t>
  </si>
  <si>
    <t>716301</t>
  </si>
  <si>
    <t>462183</t>
  </si>
  <si>
    <t>304688476</t>
  </si>
  <si>
    <t>SG86FCC63655974AE8AAAC74E3EF6FC2EE</t>
  </si>
  <si>
    <t>Artist_Name: J Balvin Artist_Role: Main Artist;Artist_Name: Ryan Castro Artist_Role: Main Artist</t>
  </si>
  <si>
    <t>Dalmation</t>
  </si>
  <si>
    <t>41594</t>
  </si>
  <si>
    <t>173978</t>
  </si>
  <si>
    <t>215572</t>
  </si>
  <si>
    <t>178871</t>
  </si>
  <si>
    <t>SG336A9FC47AD74680BC0604686FC4C2D0</t>
  </si>
  <si>
    <t>EoO</t>
  </si>
  <si>
    <t>123361</t>
  </si>
  <si>
    <t>349968</t>
  </si>
  <si>
    <t>473329</t>
  </si>
  <si>
    <t>364481</t>
  </si>
  <si>
    <t>182997716,263349444,285159662</t>
  </si>
  <si>
    <t>SG3C0DB2828E7449ABAB287296467F6FAC</t>
  </si>
  <si>
    <t>Blessd, Fuerza Regida, Ovy On The Drums</t>
  </si>
  <si>
    <t>Artist_Name: Fuerza Regida Artist_Role: Main Artist;Artist_Name: Blessd Artist_Role: Main Artist;Artist_Name: Ovy On The Drums Artist_Role: Main Artist;Artist_Name: Blessd, Fuerza Regida &amp; Ovy On The Drums Artist_Role: Collaboration</t>
  </si>
  <si>
    <t>COMO OREO</t>
  </si>
  <si>
    <t>176273</t>
  </si>
  <si>
    <t>283856</t>
  </si>
  <si>
    <t>460129</t>
  </si>
  <si>
    <t>304594</t>
  </si>
  <si>
    <t>287634700,287849198,292628044</t>
  </si>
  <si>
    <t>SGD5156A57404441E69998A9DFB1A8675B</t>
  </si>
  <si>
    <t>Boza, ELENA ROSE</t>
  </si>
  <si>
    <t>Artist_Name: Boza Artist_Role: Main Artist;Artist_Name: ELENA ROSE Artist_Role: Main Artist</t>
  </si>
  <si>
    <t>orióN</t>
  </si>
  <si>
    <t>173537</t>
  </si>
  <si>
    <t>328720</t>
  </si>
  <si>
    <t>502257</t>
  </si>
  <si>
    <t>474</t>
  </si>
  <si>
    <t>11568</t>
  </si>
  <si>
    <t>12042</t>
  </si>
  <si>
    <t>360760</t>
  </si>
  <si>
    <t>239945913,260632231</t>
  </si>
  <si>
    <t>SGFD9310551B784570BFC9409B6B949F14</t>
  </si>
  <si>
    <t>Lil Naay</t>
  </si>
  <si>
    <t>Artist_Name: Lil Naay Artist_Role: Main Artist</t>
  </si>
  <si>
    <t>UNA BABY EN SANTIAGO</t>
  </si>
  <si>
    <t>382500</t>
  </si>
  <si>
    <t>406636</t>
  </si>
  <si>
    <t>789136</t>
  </si>
  <si>
    <t>451636</t>
  </si>
  <si>
    <t>301348470,302615487</t>
  </si>
  <si>
    <t>SG3DDBFA6E30DA4F79BE048271B3ED0BCD</t>
  </si>
  <si>
    <t>W Sound, Myke Towers, Ovy On The Drums</t>
  </si>
  <si>
    <t>Artist_Name: Myke Towers Artist_Role: Main Artist;Artist_Name: W Sound Artist_Role: Main Artist;Artist_Name: Ovy On The Drums Artist_Role: Main Artist</t>
  </si>
  <si>
    <t>5 Estrellas - W Sound 23</t>
  </si>
  <si>
    <t>124756</t>
  </si>
  <si>
    <t>229173</t>
  </si>
  <si>
    <t>353929</t>
  </si>
  <si>
    <t>358</t>
  </si>
  <si>
    <t>6302</t>
  </si>
  <si>
    <t>6660</t>
  </si>
  <si>
    <t>250194</t>
  </si>
  <si>
    <t>305597135,306470727,307118376</t>
  </si>
  <si>
    <t>SG69CCF5F970C14EAE95B50FDE7312EFA2</t>
  </si>
  <si>
    <t>NO CRY</t>
  </si>
  <si>
    <t>128901</t>
  </si>
  <si>
    <t>367183</t>
  </si>
  <si>
    <t>496084</t>
  </si>
  <si>
    <t>382348</t>
  </si>
  <si>
    <t>281482265</t>
  </si>
  <si>
    <t>SG15702B26DD964A34A52E9C255BBF52E9</t>
  </si>
  <si>
    <t>KAROL G</t>
  </si>
  <si>
    <t>Artist_Name: KAROL G Artist_Role: Main Artist</t>
  </si>
  <si>
    <t>Si Antes Te Hubiera Conocido</t>
  </si>
  <si>
    <t>154579</t>
  </si>
  <si>
    <t>265053</t>
  </si>
  <si>
    <t>419632</t>
  </si>
  <si>
    <t>600</t>
  </si>
  <si>
    <t>6110</t>
  </si>
  <si>
    <t>6710</t>
  </si>
  <si>
    <t>289420</t>
  </si>
  <si>
    <t>243408619</t>
  </si>
  <si>
    <t>SG2A406D61D6664AF185D5074F715CF057</t>
  </si>
  <si>
    <t>Luis Alberto Posada</t>
  </si>
  <si>
    <t>Artist_Name: Luis Alberto Posada Artist_Role: Main Artist</t>
  </si>
  <si>
    <t>Mal Amor</t>
  </si>
  <si>
    <t>219426</t>
  </si>
  <si>
    <t>247899</t>
  </si>
  <si>
    <t>467325</t>
  </si>
  <si>
    <t>671</t>
  </si>
  <si>
    <t>8159</t>
  </si>
  <si>
    <t>281952</t>
  </si>
  <si>
    <t>103589876</t>
  </si>
  <si>
    <t>SGF4D2A66128E94376AB6030E25A03565D</t>
  </si>
  <si>
    <t>Artist_Name: Blessd Artist_Role: Main Artist;Artist_Name: Ovy On The Drums Artist_Role: Main Artist</t>
  </si>
  <si>
    <t>Mírame</t>
  </si>
  <si>
    <t>258216</t>
  </si>
  <si>
    <t>349503</t>
  </si>
  <si>
    <t>607719</t>
  </si>
  <si>
    <t>384</t>
  </si>
  <si>
    <t>6896</t>
  </si>
  <si>
    <t>7280</t>
  </si>
  <si>
    <t>386822</t>
  </si>
  <si>
    <t>237829063,249482717,257605708</t>
  </si>
  <si>
    <t>SG13247CF948794099B217252638E0FA3C</t>
  </si>
  <si>
    <t>Nanpa Básico, Beéle</t>
  </si>
  <si>
    <t>Artist_Name: Beéle Artist_Role: Main Artist;Artist_Name: Nanpa Básico Artist_Role: Main Artist;Artist_Name: Nanpa Básico &amp; Beéle Artist_Role: Collaboration</t>
  </si>
  <si>
    <t>Hasta Aquí Llegué</t>
  </si>
  <si>
    <t>213283</t>
  </si>
  <si>
    <t>352120</t>
  </si>
  <si>
    <t>565403</t>
  </si>
  <si>
    <t>8119</t>
  </si>
  <si>
    <t>8503</t>
  </si>
  <si>
    <t>385376</t>
  </si>
  <si>
    <t>245031867,245038972,248405520</t>
  </si>
  <si>
    <t>SGF0C01B69E29843D19B87A93856B49C3F</t>
  </si>
  <si>
    <t>Beat It</t>
  </si>
  <si>
    <t>163258</t>
  </si>
  <si>
    <t>382837</t>
  </si>
  <si>
    <t>546095</t>
  </si>
  <si>
    <t>1997</t>
  </si>
  <si>
    <t>9168</t>
  </si>
  <si>
    <t>11165</t>
  </si>
  <si>
    <t>411447</t>
  </si>
  <si>
    <t>138484651,21236279,21363338,264002844,32995171,32999140,40367307,40767957,5403734,...</t>
  </si>
  <si>
    <t>SG6354C62DF2544F5891518CBA945A65B0</t>
  </si>
  <si>
    <t>Farruko, Greeicy, Steve Aoki</t>
  </si>
  <si>
    <t>Artist_Name: Greeicy Artist_Role: Main Artist;Artist_Name: Farruko, Greeicy &amp; Steve Aoki Artist_Role: Collaboration;Artist_Name: Steve Aoki Artist_Role: Main Artist;Artist_Name: Farruko Artist_Role: Main Artist</t>
  </si>
  <si>
    <t>YAPAQUE</t>
  </si>
  <si>
    <t>150343</t>
  </si>
  <si>
    <t>273876</t>
  </si>
  <si>
    <t>424219</t>
  </si>
  <si>
    <t>657</t>
  </si>
  <si>
    <t>5912</t>
  </si>
  <si>
    <t>6569</t>
  </si>
  <si>
    <t>297552</t>
  </si>
  <si>
    <t>SGB13CAA7F41614DEA8C48DFB54F072149</t>
  </si>
  <si>
    <t>J Alvarez, Ñejo, &amp; Dalmata</t>
  </si>
  <si>
    <t>Artist_Name: J Alvarez Artist_Role: Main Artist</t>
  </si>
  <si>
    <t>Sexo, Sudor y Calor</t>
  </si>
  <si>
    <t>230628</t>
  </si>
  <si>
    <t>348473</t>
  </si>
  <si>
    <t>579101</t>
  </si>
  <si>
    <t>375606</t>
  </si>
  <si>
    <t>70431090,81522056,84154078</t>
  </si>
  <si>
    <t>SG4C2931AF8C124539A8BDB5C0F036BD95</t>
  </si>
  <si>
    <t>Dalmata</t>
  </si>
  <si>
    <t>Artist_Name: Dálmata Artist_Role: Main Artist</t>
  </si>
  <si>
    <t>Dile a Tu Amiga</t>
  </si>
  <si>
    <t>235836</t>
  </si>
  <si>
    <t>357839</t>
  </si>
  <si>
    <t>593675</t>
  </si>
  <si>
    <t>385584</t>
  </si>
  <si>
    <t>173550566,37206752,74797096</t>
  </si>
  <si>
    <t>SGE5A2192B11F04B7887172E246CCADAD2</t>
  </si>
  <si>
    <t>Topboy TGR, Eladio Carrión, Sech</t>
  </si>
  <si>
    <t>Artist_Name: Topboy TGR Artist_Role: Main Artist;Artist_Name: Sech Artist_Role: Main Artist;Artist_Name: Eladio Carrión Artist_Role: Main Artist</t>
  </si>
  <si>
    <t>MÁS DE AHÍ - REMIX</t>
  </si>
  <si>
    <t>195096</t>
  </si>
  <si>
    <t>348431</t>
  </si>
  <si>
    <t>543527</t>
  </si>
  <si>
    <t>359</t>
  </si>
  <si>
    <t>7524</t>
  </si>
  <si>
    <t>7883</t>
  </si>
  <si>
    <t>378949</t>
  </si>
  <si>
    <t>291507777</t>
  </si>
  <si>
    <t>SGC6A27D9C36C5423F9DE77050A3162447</t>
  </si>
  <si>
    <t>Feid, ATL Jacob</t>
  </si>
  <si>
    <t>Artist_Name: Feid Artist_Role: Main Artist;Artist_Name: ATL Jacob Artist_Role: Main Artist</t>
  </si>
  <si>
    <t>LUNA</t>
  </si>
  <si>
    <t>244945</t>
  </si>
  <si>
    <t>333176</t>
  </si>
  <si>
    <t>578121</t>
  </si>
  <si>
    <t>529</t>
  </si>
  <si>
    <t>10473</t>
  </si>
  <si>
    <t>11002</t>
  </si>
  <si>
    <t>372528</t>
  </si>
  <si>
    <t>227833921,233925407</t>
  </si>
  <si>
    <t>SG260D2D0C9E3443AF8F5DC950546E6095</t>
  </si>
  <si>
    <t>Plan B</t>
  </si>
  <si>
    <t>Artist_Name: Plan B Artist_Role: Main Artist</t>
  </si>
  <si>
    <t>Es Un Secreto</t>
  </si>
  <si>
    <t>317865</t>
  </si>
  <si>
    <t>329909</t>
  </si>
  <si>
    <t>647774</t>
  </si>
  <si>
    <t>367305</t>
  </si>
  <si>
    <t>108306871,13174379,201958051</t>
  </si>
  <si>
    <t>SG8869AB3D23EA4E5B83B547A3839CE189</t>
  </si>
  <si>
    <t>KAROL G, Marco Antonio Solís</t>
  </si>
  <si>
    <t>Artist_Name: Rancho Especial Artist_Role: Main Artist</t>
  </si>
  <si>
    <t>Coleccionando Heridas</t>
  </si>
  <si>
    <t>159218</t>
  </si>
  <si>
    <t>296156</t>
  </si>
  <si>
    <t>455374</t>
  </si>
  <si>
    <t>314888</t>
  </si>
  <si>
    <t>281546366,281763785</t>
  </si>
  <si>
    <t>SGCF30A64DE4E04640B9F8B7B54D85F127</t>
  </si>
  <si>
    <t>KAROL G, Feid</t>
  </si>
  <si>
    <t>Verano Rosa</t>
  </si>
  <si>
    <t>156394</t>
  </si>
  <si>
    <t>286388</t>
  </si>
  <si>
    <t>442782</t>
  </si>
  <si>
    <t>304787</t>
  </si>
  <si>
    <t>281546379</t>
  </si>
  <si>
    <t>SG64BFD927CEAA46878BD7C14EC3A1D5F3</t>
  </si>
  <si>
    <t>Alvaro Diaz, TAINY</t>
  </si>
  <si>
    <t>Artist_Name: Álvaro Díaz Artist_Role: Main Artist</t>
  </si>
  <si>
    <t>PERDISTE EL EMMY.</t>
  </si>
  <si>
    <t>30463</t>
  </si>
  <si>
    <t>184586</t>
  </si>
  <si>
    <t>215049</t>
  </si>
  <si>
    <t>188170</t>
  </si>
  <si>
    <t>SGFC3A1E590D4B44B68381DE2D05AF2912</t>
  </si>
  <si>
    <t>Tony Dize, Plan B</t>
  </si>
  <si>
    <t>Artist_Name: Tony Dize Artist_Role: Main Artist</t>
  </si>
  <si>
    <t>Solos</t>
  </si>
  <si>
    <t>248791</t>
  </si>
  <si>
    <t>333452</t>
  </si>
  <si>
    <t>582243</t>
  </si>
  <si>
    <t>362722</t>
  </si>
  <si>
    <t>23522584,25657390,58251903,81893663</t>
  </si>
  <si>
    <t>SGA541A0EDE8A543838F78C3C85595FB25</t>
  </si>
  <si>
    <t>Human Nature</t>
  </si>
  <si>
    <t>69797</t>
  </si>
  <si>
    <t>213743</t>
  </si>
  <si>
    <t>283540</t>
  </si>
  <si>
    <t>33</t>
  </si>
  <si>
    <t>69</t>
  </si>
  <si>
    <t>102</t>
  </si>
  <si>
    <t>222027</t>
  </si>
  <si>
    <t>138483938,237117782,35577523,45018944,7410338,82665445</t>
  </si>
  <si>
    <t>SG1AF041B7515F44F4B7677F575BCC4050</t>
  </si>
  <si>
    <t>Fuerza Regida</t>
  </si>
  <si>
    <t>Artist_Name: Fuerza Regida Artist_Role: Main Artist</t>
  </si>
  <si>
    <t>TU SANCHO</t>
  </si>
  <si>
    <t>200625</t>
  </si>
  <si>
    <t>356019</t>
  </si>
  <si>
    <t>556644</t>
  </si>
  <si>
    <t>376</t>
  </si>
  <si>
    <t>7286</t>
  </si>
  <si>
    <t>7662</t>
  </si>
  <si>
    <t>386952</t>
  </si>
  <si>
    <t>272458885,289646006</t>
  </si>
  <si>
    <t>SG8836D75CC7E24CEBB662ADC9D6F62EA9</t>
  </si>
  <si>
    <t>La Combinación Vallenata, Jean Carlos Centeno</t>
  </si>
  <si>
    <t>Artist_Name: La Combinación Vallenata Artist_Role: Main Artist</t>
  </si>
  <si>
    <t>Ayer Y Hoy</t>
  </si>
  <si>
    <t>180614</t>
  </si>
  <si>
    <t>252434</t>
  </si>
  <si>
    <t>433048</t>
  </si>
  <si>
    <t>273683</t>
  </si>
  <si>
    <t>131482078,140268787,153250771,302773506,40116945,5312131</t>
  </si>
  <si>
    <t>SG5EBE67251A12416C95788110FB022538</t>
  </si>
  <si>
    <t>NUEVAYoL</t>
  </si>
  <si>
    <t>108548</t>
  </si>
  <si>
    <t>248830</t>
  </si>
  <si>
    <t>357378</t>
  </si>
  <si>
    <t>286</t>
  </si>
  <si>
    <t>4755</t>
  </si>
  <si>
    <t>5041</t>
  </si>
  <si>
    <t>266389</t>
  </si>
  <si>
    <t>182997702,263349432</t>
  </si>
  <si>
    <t>SGF1CE5E9A38C14CC9B7931A1D57318EA2</t>
  </si>
  <si>
    <t>Danny Ocean</t>
  </si>
  <si>
    <t>Artist_Name: Danny Ocean Artist_Role: Main Artist</t>
  </si>
  <si>
    <t>Me rehúso</t>
  </si>
  <si>
    <t>225852</t>
  </si>
  <si>
    <t>294982</t>
  </si>
  <si>
    <t>520834</t>
  </si>
  <si>
    <t>484</t>
  </si>
  <si>
    <t>7332</t>
  </si>
  <si>
    <t>7816</t>
  </si>
  <si>
    <t>328942</t>
  </si>
  <si>
    <t>105929130,226757740,280198881,36070615,77346038,84818422,92726033</t>
  </si>
  <si>
    <t>SGA221096216B94460916BF8D485B81D62</t>
  </si>
  <si>
    <t>Romeo Santos, Prince Royce</t>
  </si>
  <si>
    <t>Artist_Name: Romeo Santos Artist_Role: Main Artist;Artist_Name: Prince Royce Artist_Role: Main Artist</t>
  </si>
  <si>
    <t>Dardos</t>
  </si>
  <si>
    <t>166802</t>
  </si>
  <si>
    <t>221452</t>
  </si>
  <si>
    <t>388254</t>
  </si>
  <si>
    <t>631</t>
  </si>
  <si>
    <t>4569</t>
  </si>
  <si>
    <t>5200</t>
  </si>
  <si>
    <t>245719</t>
  </si>
  <si>
    <t>184989443,296958545,297347618</t>
  </si>
  <si>
    <t>SGE955E9E7604C4D5AB4672B5EFFA73065</t>
  </si>
  <si>
    <t>Marlboro Rojo</t>
  </si>
  <si>
    <t>176795</t>
  </si>
  <si>
    <t>331387</t>
  </si>
  <si>
    <t>508182</t>
  </si>
  <si>
    <t>352186</t>
  </si>
  <si>
    <t>272458886</t>
  </si>
  <si>
    <t>SG867F1BDA77024CC8931B844A9CD6B9FF</t>
  </si>
  <si>
    <t>Yeison Jimenez</t>
  </si>
  <si>
    <t>Artist_Name: Yeison Jiménez Artist_Role: Main Artist</t>
  </si>
  <si>
    <t>MLP</t>
  </si>
  <si>
    <t>161633</t>
  </si>
  <si>
    <t>226027</t>
  </si>
  <si>
    <t>387660</t>
  </si>
  <si>
    <t>245043</t>
  </si>
  <si>
    <t>228881493</t>
  </si>
  <si>
    <t>SG743E0DF0168B45EBA36952E2F295F489</t>
  </si>
  <si>
    <t>Grupo Niche</t>
  </si>
  <si>
    <t>Artist_Name: Grupo Niche Artist_Role: Main Artist</t>
  </si>
  <si>
    <t>Algo Que Se Quede</t>
  </si>
  <si>
    <t>117027</t>
  </si>
  <si>
    <t>211866</t>
  </si>
  <si>
    <t>328893</t>
  </si>
  <si>
    <t>236</t>
  </si>
  <si>
    <t>4959</t>
  </si>
  <si>
    <t>5195</t>
  </si>
  <si>
    <t>230621</t>
  </si>
  <si>
    <t>128423876</t>
  </si>
  <si>
    <t>SG0370600F693144EAA25B527BD647C975</t>
  </si>
  <si>
    <t>Bad Bunny, Omar Courtz, Dei V</t>
  </si>
  <si>
    <t>Artist_Name: Bad Bunny Artist_Role: Main Artist;Artist_Name: Omar Courtz Artist_Role: Main Artist;Artist_Name: Dei V Artist_Role: Main Artist</t>
  </si>
  <si>
    <t>VeLDÁ</t>
  </si>
  <si>
    <t>110342</t>
  </si>
  <si>
    <t>306931</t>
  </si>
  <si>
    <t>417273</t>
  </si>
  <si>
    <t>319912</t>
  </si>
  <si>
    <t>182997707,263349437,272787450</t>
  </si>
  <si>
    <t>SG1A544865316D41E2ADD46BCA5AB0B41C</t>
  </si>
  <si>
    <t>Fresto Music</t>
  </si>
  <si>
    <t>Artist_Name: Fresto Artist_Role: Main Artist</t>
  </si>
  <si>
    <t>Me Hace Daño Verte</t>
  </si>
  <si>
    <t>160494</t>
  </si>
  <si>
    <t>276687</t>
  </si>
  <si>
    <t>437181</t>
  </si>
  <si>
    <t>295569</t>
  </si>
  <si>
    <t>149725996,204556161</t>
  </si>
  <si>
    <t>SG9DA217DF1CD3404F8AFF2DFD33A4828A</t>
  </si>
  <si>
    <t>NO ME QUIERO CASAR</t>
  </si>
  <si>
    <t>125928</t>
  </si>
  <si>
    <t>317797</t>
  </si>
  <si>
    <t>443725</t>
  </si>
  <si>
    <t>289</t>
  </si>
  <si>
    <t>5798</t>
  </si>
  <si>
    <t>6087</t>
  </si>
  <si>
    <t>338444</t>
  </si>
  <si>
    <t>223598692</t>
  </si>
  <si>
    <t>SGAAAEB732D74844AF93A3FDF1141A244E</t>
  </si>
  <si>
    <t>si te pillara</t>
  </si>
  <si>
    <t>135429</t>
  </si>
  <si>
    <t>270422</t>
  </si>
  <si>
    <t>405851</t>
  </si>
  <si>
    <t>6</t>
  </si>
  <si>
    <t>146</t>
  </si>
  <si>
    <t>152</t>
  </si>
  <si>
    <t>286502</t>
  </si>
  <si>
    <t>276757213</t>
  </si>
  <si>
    <t>SGBDD8F19C6BC644CB8BF6DC2358BD4EB7</t>
  </si>
  <si>
    <t>Héctor "El Father", Wisin &amp; Yandel</t>
  </si>
  <si>
    <t>Artist_Name: Héctor "El Father" Artist_Role: Main Artist;Artist_Name: Wisin &amp; Yandel Artist_Role: Featured Artist</t>
  </si>
  <si>
    <t>El Teléfono</t>
  </si>
  <si>
    <t>242497</t>
  </si>
  <si>
    <t>298129</t>
  </si>
  <si>
    <t>540626</t>
  </si>
  <si>
    <t>326658</t>
  </si>
  <si>
    <t>118525944,295311323,34941441,37648645</t>
  </si>
  <si>
    <t>SG1CD6EEA28431432FBB3D6F61D7387871</t>
  </si>
  <si>
    <t>Alleh, Yorghaki</t>
  </si>
  <si>
    <t>Artist_Name: Yorghaki Artist_Role: Main Artist;Artist_Name: Alleh Artist_Role: Main Artist</t>
  </si>
  <si>
    <t>capaz (merengueton)</t>
  </si>
  <si>
    <t>138240</t>
  </si>
  <si>
    <t>253557</t>
  </si>
  <si>
    <t>391797</t>
  </si>
  <si>
    <t>269821</t>
  </si>
  <si>
    <t>256382491</t>
  </si>
  <si>
    <t>SG2B2C28912549491C95C90823643839FA</t>
  </si>
  <si>
    <t>Kany García</t>
  </si>
  <si>
    <t>Artist_Name: Kany García Artist_Role: Main Artist</t>
  </si>
  <si>
    <t>A La Niña Que Fui</t>
  </si>
  <si>
    <t>129429</t>
  </si>
  <si>
    <t>222846</t>
  </si>
  <si>
    <t>352275</t>
  </si>
  <si>
    <t>660</t>
  </si>
  <si>
    <t>3798</t>
  </si>
  <si>
    <t>4458</t>
  </si>
  <si>
    <t>241949</t>
  </si>
  <si>
    <t>309085544</t>
  </si>
  <si>
    <t>SG6847167106834595A928207A05C712A1</t>
  </si>
  <si>
    <t>VOY A LLeVARTE PA PR</t>
  </si>
  <si>
    <t>92072</t>
  </si>
  <si>
    <t>257680</t>
  </si>
  <si>
    <t>349752</t>
  </si>
  <si>
    <t>268512</t>
  </si>
  <si>
    <t>182997703,263349433</t>
  </si>
  <si>
    <t>SG624D06D43ED4479FA211D26B725FAE6D</t>
  </si>
  <si>
    <t>Yeison Jimenez, Chayín Rubio</t>
  </si>
  <si>
    <t>Artist_Name: Yeison Jimenez &amp; Chayín Rubio Artist_Role: Collaboration;Artist_Name: Yeison Jiménez Artist_Role: Main Artist;Artist_Name: Chayín Rubio Artist_Role: Main Artist</t>
  </si>
  <si>
    <t>El Mejor - Remix</t>
  </si>
  <si>
    <t>161897</t>
  </si>
  <si>
    <t>281281</t>
  </si>
  <si>
    <t>443178</t>
  </si>
  <si>
    <t>300328</t>
  </si>
  <si>
    <t>254826628</t>
  </si>
  <si>
    <t>SG9C4DA73195FF42AC96EB9BDA46971378</t>
  </si>
  <si>
    <t>Ovy On The Drums, Jere Klein, Blessd</t>
  </si>
  <si>
    <t>Artist_Name: Jere Klein Artist_Role: Main Artist;Artist_Name: Ovy On The Drums Artist_Role: Main Artist</t>
  </si>
  <si>
    <t>Q Hubo Amor (Medellín)</t>
  </si>
  <si>
    <t>205451</t>
  </si>
  <si>
    <t>326323</t>
  </si>
  <si>
    <t>531774</t>
  </si>
  <si>
    <t>350494</t>
  </si>
  <si>
    <t>SG8A38D3D30BA5477BB406FEDD651599A5</t>
  </si>
  <si>
    <t>Vete</t>
  </si>
  <si>
    <t>223455</t>
  </si>
  <si>
    <t>257256</t>
  </si>
  <si>
    <t>480711</t>
  </si>
  <si>
    <t>283545</t>
  </si>
  <si>
    <t>216951271</t>
  </si>
  <si>
    <t>SGDEAF0AA3F2B04D368BAEA4E9BBC7608D</t>
  </si>
  <si>
    <t>J Balvin, Bad Bunny</t>
  </si>
  <si>
    <t>Artist_Name: J Balvin Artist_Role: Main Artist;Artist_Name: Bad Bunny Artist_Role: Main Artist</t>
  </si>
  <si>
    <t>LA CANCIÓN</t>
  </si>
  <si>
    <t>202061</t>
  </si>
  <si>
    <t>298385</t>
  </si>
  <si>
    <t>500446</t>
  </si>
  <si>
    <t>418</t>
  </si>
  <si>
    <t>7638</t>
  </si>
  <si>
    <t>8056</t>
  </si>
  <si>
    <t>329844</t>
  </si>
  <si>
    <t>113101759,130203253,174812479</t>
  </si>
  <si>
    <t>SG1C12082C950E45C3BF06ECAEDB66BA41</t>
  </si>
  <si>
    <t>Jósean Log</t>
  </si>
  <si>
    <t>Artist_Name: Jósean Log Artist_Role: Main Artist</t>
  </si>
  <si>
    <t>Doma</t>
  </si>
  <si>
    <t>253308</t>
  </si>
  <si>
    <t>316758</t>
  </si>
  <si>
    <t>570066</t>
  </si>
  <si>
    <t>346559</t>
  </si>
  <si>
    <t>84165590</t>
  </si>
  <si>
    <t>SG2A3F387226E340F6882564390847F169</t>
  </si>
  <si>
    <t>PH</t>
  </si>
  <si>
    <t>205526</t>
  </si>
  <si>
    <t>322038</t>
  </si>
  <si>
    <t>527564</t>
  </si>
  <si>
    <t>346218</t>
  </si>
  <si>
    <t>308256685</t>
  </si>
  <si>
    <t>SG0026662EA04E4C1DBDFBF92A442D017E</t>
  </si>
  <si>
    <t>Shakira, Beéle</t>
  </si>
  <si>
    <t>Artist_Name: Beéle Artist_Role: Main Artist;Artist_Name: Shakira &amp; Beéle Artist_Role: Collaboration;Artist_Name: Shakira Artist_Role: Main Artist</t>
  </si>
  <si>
    <t>ALGO TÚ</t>
  </si>
  <si>
    <t>36894</t>
  </si>
  <si>
    <t>76360</t>
  </si>
  <si>
    <t>113254</t>
  </si>
  <si>
    <t>80700</t>
  </si>
  <si>
    <t>308283567</t>
  </si>
  <si>
    <t>SG5717E2092B7C4CD68718C94887D7DF3F</t>
  </si>
  <si>
    <t>Grupo Frontera, Grupo Firme</t>
  </si>
  <si>
    <t>Artist_Name: Grupo Frontera &amp; Grupo Firme Artist_Role: Collaboration;Artist_Name: Grupo Firme Artist_Role: Main Artist;Artist_Name: Grupo Frontera Artist_Role: Main Artist</t>
  </si>
  <si>
    <t>EL AMOR DE SU VIDA</t>
  </si>
  <si>
    <t>135692</t>
  </si>
  <si>
    <t>252095</t>
  </si>
  <si>
    <t>387787</t>
  </si>
  <si>
    <t>364</t>
  </si>
  <si>
    <t>4533</t>
  </si>
  <si>
    <t>4897</t>
  </si>
  <si>
    <t>272635</t>
  </si>
  <si>
    <t>216665521,217258497,268446720</t>
  </si>
  <si>
    <t>390079</t>
  </si>
  <si>
    <t>959017</t>
  </si>
  <si>
    <t>1349096</t>
  </si>
  <si>
    <t>901</t>
  </si>
  <si>
    <t>5776</t>
  </si>
  <si>
    <t>6677</t>
  </si>
  <si>
    <t>1010791</t>
  </si>
  <si>
    <t>202623</t>
  </si>
  <si>
    <t>357290</t>
  </si>
  <si>
    <t>851363</t>
  </si>
  <si>
    <t>1208653</t>
  </si>
  <si>
    <t>2471</t>
  </si>
  <si>
    <t>8339</t>
  </si>
  <si>
    <t>10810</t>
  </si>
  <si>
    <t>902027</t>
  </si>
  <si>
    <t>310955</t>
  </si>
  <si>
    <t>606956</t>
  </si>
  <si>
    <t>917911</t>
  </si>
  <si>
    <t>643539</t>
  </si>
  <si>
    <t>865893</t>
  </si>
  <si>
    <t>1012353</t>
  </si>
  <si>
    <t>1878246</t>
  </si>
  <si>
    <t>1114223</t>
  </si>
  <si>
    <t>228154</t>
  </si>
  <si>
    <t>652992</t>
  </si>
  <si>
    <t>881146</t>
  </si>
  <si>
    <t>630</t>
  </si>
  <si>
    <t>14061</t>
  </si>
  <si>
    <t>14691</t>
  </si>
  <si>
    <t>693969</t>
  </si>
  <si>
    <t>291382</t>
  </si>
  <si>
    <t>650411</t>
  </si>
  <si>
    <t>941793</t>
  </si>
  <si>
    <t>1956</t>
  </si>
  <si>
    <t>19537</t>
  </si>
  <si>
    <t>21493</t>
  </si>
  <si>
    <t>704458</t>
  </si>
  <si>
    <t>204804</t>
  </si>
  <si>
    <t>647169</t>
  </si>
  <si>
    <t>851973</t>
  </si>
  <si>
    <t>431</t>
  </si>
  <si>
    <t>7813</t>
  </si>
  <si>
    <t>8244</t>
  </si>
  <si>
    <t>679128</t>
  </si>
  <si>
    <t>145184</t>
  </si>
  <si>
    <t>390929</t>
  </si>
  <si>
    <t>536113</t>
  </si>
  <si>
    <t>4218</t>
  </si>
  <si>
    <t>26420</t>
  </si>
  <si>
    <t>30638</t>
  </si>
  <si>
    <t>434925</t>
  </si>
  <si>
    <t>430655</t>
  </si>
  <si>
    <t>714153</t>
  </si>
  <si>
    <t>1144808</t>
  </si>
  <si>
    <t>1760</t>
  </si>
  <si>
    <t>15233</t>
  </si>
  <si>
    <t>16993</t>
  </si>
  <si>
    <t>780258</t>
  </si>
  <si>
    <t>576915</t>
  </si>
  <si>
    <t>726931</t>
  </si>
  <si>
    <t>1303846</t>
  </si>
  <si>
    <t>794803</t>
  </si>
  <si>
    <t>232845</t>
  </si>
  <si>
    <t>584056</t>
  </si>
  <si>
    <t>816901</t>
  </si>
  <si>
    <t>669</t>
  </si>
  <si>
    <t>12722</t>
  </si>
  <si>
    <t>13391</t>
  </si>
  <si>
    <t>624251</t>
  </si>
  <si>
    <t>28579</t>
  </si>
  <si>
    <t>80087</t>
  </si>
  <si>
    <t>108666</t>
  </si>
  <si>
    <t>83449</t>
  </si>
  <si>
    <t>463755</t>
  </si>
  <si>
    <t>445897</t>
  </si>
  <si>
    <t>909652</t>
  </si>
  <si>
    <t>500456</t>
  </si>
  <si>
    <t>272680</t>
  </si>
  <si>
    <t>342325</t>
  </si>
  <si>
    <t>615005</t>
  </si>
  <si>
    <t>1550</t>
  </si>
  <si>
    <t>7316</t>
  </si>
  <si>
    <t>8866</t>
  </si>
  <si>
    <t>381903</t>
  </si>
  <si>
    <t>58343</t>
  </si>
  <si>
    <t>172904</t>
  </si>
  <si>
    <t>231247</t>
  </si>
  <si>
    <t>250</t>
  </si>
  <si>
    <t>6719</t>
  </si>
  <si>
    <t>6969</t>
  </si>
  <si>
    <t>186516</t>
  </si>
  <si>
    <t>659432</t>
  </si>
  <si>
    <t>709326</t>
  </si>
  <si>
    <t>1368758</t>
  </si>
  <si>
    <t>786906</t>
  </si>
  <si>
    <t>231494</t>
  </si>
  <si>
    <t>520430</t>
  </si>
  <si>
    <t>751924</t>
  </si>
  <si>
    <t>547665</t>
  </si>
  <si>
    <t>25653</t>
  </si>
  <si>
    <t>82645</t>
  </si>
  <si>
    <t>108298</t>
  </si>
  <si>
    <t>169</t>
  </si>
  <si>
    <t>1971</t>
  </si>
  <si>
    <t>2140</t>
  </si>
  <si>
    <t>87654</t>
  </si>
  <si>
    <t>298633</t>
  </si>
  <si>
    <t>569717</t>
  </si>
  <si>
    <t>868350</t>
  </si>
  <si>
    <t>653</t>
  </si>
  <si>
    <t>12008</t>
  </si>
  <si>
    <t>12661</t>
  </si>
  <si>
    <t>616935</t>
  </si>
  <si>
    <t>105383</t>
  </si>
  <si>
    <t>405654</t>
  </si>
  <si>
    <t>511037</t>
  </si>
  <si>
    <t>8590</t>
  </si>
  <si>
    <t>8952</t>
  </si>
  <si>
    <t>426685</t>
  </si>
  <si>
    <t>483635</t>
  </si>
  <si>
    <t>608752</t>
  </si>
  <si>
    <t>1092387</t>
  </si>
  <si>
    <t>665650</t>
  </si>
  <si>
    <t>667978</t>
  </si>
  <si>
    <t>640118</t>
  </si>
  <si>
    <t>1308096</t>
  </si>
  <si>
    <t>718704</t>
  </si>
  <si>
    <t>388522</t>
  </si>
  <si>
    <t>455637</t>
  </si>
  <si>
    <t>844159</t>
  </si>
  <si>
    <t>3770</t>
  </si>
  <si>
    <t>1446</t>
  </si>
  <si>
    <t>5216</t>
  </si>
  <si>
    <t>503235</t>
  </si>
  <si>
    <t>199510</t>
  </si>
  <si>
    <t>442023</t>
  </si>
  <si>
    <t>641533</t>
  </si>
  <si>
    <t>548</t>
  </si>
  <si>
    <t>8615</t>
  </si>
  <si>
    <t>9163</t>
  </si>
  <si>
    <t>474174</t>
  </si>
  <si>
    <t>76634</t>
  </si>
  <si>
    <t>346367</t>
  </si>
  <si>
    <t>423001</t>
  </si>
  <si>
    <t>355383</t>
  </si>
  <si>
    <t>436418</t>
  </si>
  <si>
    <t>477051</t>
  </si>
  <si>
    <t>913469</t>
  </si>
  <si>
    <t>528394</t>
  </si>
  <si>
    <t>214038</t>
  </si>
  <si>
    <t>565570</t>
  </si>
  <si>
    <t>779608</t>
  </si>
  <si>
    <t>590751</t>
  </si>
  <si>
    <t>161367</t>
  </si>
  <si>
    <t>388266</t>
  </si>
  <si>
    <t>549633</t>
  </si>
  <si>
    <t>2</t>
  </si>
  <si>
    <t>407252</t>
  </si>
  <si>
    <t>259484</t>
  </si>
  <si>
    <t>361249</t>
  </si>
  <si>
    <t>620733</t>
  </si>
  <si>
    <t>1010</t>
  </si>
  <si>
    <t>8908</t>
  </si>
  <si>
    <t>9918</t>
  </si>
  <si>
    <t>400804</t>
  </si>
  <si>
    <t>276023</t>
  </si>
  <si>
    <t>408631</t>
  </si>
  <si>
    <t>684654</t>
  </si>
  <si>
    <t>350</t>
  </si>
  <si>
    <t>8839</t>
  </si>
  <si>
    <t>449634</t>
  </si>
  <si>
    <t>316383</t>
  </si>
  <si>
    <t>451521</t>
  </si>
  <si>
    <t>767904</t>
  </si>
  <si>
    <t>488743</t>
  </si>
  <si>
    <t>201722</t>
  </si>
  <si>
    <t>390986</t>
  </si>
  <si>
    <t>592708</t>
  </si>
  <si>
    <t>522</t>
  </si>
  <si>
    <t>11048</t>
  </si>
  <si>
    <t>11570</t>
  </si>
  <si>
    <t>425827</t>
  </si>
  <si>
    <t>178340</t>
  </si>
  <si>
    <t>355382</t>
  </si>
  <si>
    <t>533722</t>
  </si>
  <si>
    <t>376363</t>
  </si>
  <si>
    <t>299832</t>
  </si>
  <si>
    <t>491646</t>
  </si>
  <si>
    <t>791478</t>
  </si>
  <si>
    <t>526920</t>
  </si>
  <si>
    <t>280975</t>
  </si>
  <si>
    <t>460669</t>
  </si>
  <si>
    <t>741644</t>
  </si>
  <si>
    <t>493725</t>
  </si>
  <si>
    <t>164469</t>
  </si>
  <si>
    <t>353578</t>
  </si>
  <si>
    <t>518047</t>
  </si>
  <si>
    <t>332</t>
  </si>
  <si>
    <t>7534</t>
  </si>
  <si>
    <t>7866</t>
  </si>
  <si>
    <t>380500</t>
  </si>
  <si>
    <t>201932</t>
  </si>
  <si>
    <t>385845</t>
  </si>
  <si>
    <t>587777</t>
  </si>
  <si>
    <t>26</t>
  </si>
  <si>
    <t>501</t>
  </si>
  <si>
    <t>527</t>
  </si>
  <si>
    <t>410106</t>
  </si>
  <si>
    <t>227251</t>
  </si>
  <si>
    <t>453587</t>
  </si>
  <si>
    <t>680838</t>
  </si>
  <si>
    <t>1859</t>
  </si>
  <si>
    <t>9904</t>
  </si>
  <si>
    <t>11763</t>
  </si>
  <si>
    <t>490445</t>
  </si>
  <si>
    <t>161595</t>
  </si>
  <si>
    <t>325467</t>
  </si>
  <si>
    <t>487062</t>
  </si>
  <si>
    <t>199</t>
  </si>
  <si>
    <t>6375</t>
  </si>
  <si>
    <t>6574</t>
  </si>
  <si>
    <t>350876</t>
  </si>
  <si>
    <t>251896</t>
  </si>
  <si>
    <t>417445</t>
  </si>
  <si>
    <t>669341</t>
  </si>
  <si>
    <t>447080</t>
  </si>
  <si>
    <t>153525</t>
  </si>
  <si>
    <t>297744</t>
  </si>
  <si>
    <t>451269</t>
  </si>
  <si>
    <t>315806</t>
  </si>
  <si>
    <t>148733</t>
  </si>
  <si>
    <t>306200</t>
  </si>
  <si>
    <t>454933</t>
  </si>
  <si>
    <t>235</t>
  </si>
  <si>
    <t>6597</t>
  </si>
  <si>
    <t>6832</t>
  </si>
  <si>
    <t>330323</t>
  </si>
  <si>
    <t>220681</t>
  </si>
  <si>
    <t>398594</t>
  </si>
  <si>
    <t>619275</t>
  </si>
  <si>
    <t>667</t>
  </si>
  <si>
    <t>14279</t>
  </si>
  <si>
    <t>14946</t>
  </si>
  <si>
    <t>438913</t>
  </si>
  <si>
    <t>154969</t>
  </si>
  <si>
    <t>300747</t>
  </si>
  <si>
    <t>455716</t>
  </si>
  <si>
    <t>7740</t>
  </si>
  <si>
    <t>8340</t>
  </si>
  <si>
    <t>326790</t>
  </si>
  <si>
    <t>414349</t>
  </si>
  <si>
    <t>415974</t>
  </si>
  <si>
    <t>830323</t>
  </si>
  <si>
    <t>1096</t>
  </si>
  <si>
    <t>11762</t>
  </si>
  <si>
    <t>12858</t>
  </si>
  <si>
    <t>476612</t>
  </si>
  <si>
    <t>139626</t>
  </si>
  <si>
    <t>331388</t>
  </si>
  <si>
    <t>471014</t>
  </si>
  <si>
    <t>5</t>
  </si>
  <si>
    <t>241</t>
  </si>
  <si>
    <t>348052</t>
  </si>
  <si>
    <t>182714</t>
  </si>
  <si>
    <t>382971</t>
  </si>
  <si>
    <t>565685</t>
  </si>
  <si>
    <t>314</t>
  </si>
  <si>
    <t>7290</t>
  </si>
  <si>
    <t>7604</t>
  </si>
  <si>
    <t>411794</t>
  </si>
  <si>
    <t>183292</t>
  </si>
  <si>
    <t>337384</t>
  </si>
  <si>
    <t>520676</t>
  </si>
  <si>
    <t>453</t>
  </si>
  <si>
    <t>11887</t>
  </si>
  <si>
    <t>12340</t>
  </si>
  <si>
    <t>370888</t>
  </si>
  <si>
    <t>276426</t>
  </si>
  <si>
    <t>390396</t>
  </si>
  <si>
    <t>666822</t>
  </si>
  <si>
    <t>970</t>
  </si>
  <si>
    <t>10636</t>
  </si>
  <si>
    <t>11606</t>
  </si>
  <si>
    <t>433667</t>
  </si>
  <si>
    <t>69920</t>
  </si>
  <si>
    <t>205795</t>
  </si>
  <si>
    <t>275715</t>
  </si>
  <si>
    <t>383</t>
  </si>
  <si>
    <t>4322</t>
  </si>
  <si>
    <t>4705</t>
  </si>
  <si>
    <t>218388</t>
  </si>
  <si>
    <t>307683</t>
  </si>
  <si>
    <t>374430</t>
  </si>
  <si>
    <t>682113</t>
  </si>
  <si>
    <t>410628</t>
  </si>
  <si>
    <t>243284</t>
  </si>
  <si>
    <t>368846</t>
  </si>
  <si>
    <t>612130</t>
  </si>
  <si>
    <t>680</t>
  </si>
  <si>
    <t>12212</t>
  </si>
  <si>
    <t>12892</t>
  </si>
  <si>
    <t>409760</t>
  </si>
  <si>
    <t>188513</t>
  </si>
  <si>
    <t>345754</t>
  </si>
  <si>
    <t>534267</t>
  </si>
  <si>
    <t>326</t>
  </si>
  <si>
    <t>8371</t>
  </si>
  <si>
    <t>8697</t>
  </si>
  <si>
    <t>376341</t>
  </si>
  <si>
    <t>221464</t>
  </si>
  <si>
    <t>253663</t>
  </si>
  <si>
    <t>475127</t>
  </si>
  <si>
    <t>700</t>
  </si>
  <si>
    <t>8598</t>
  </si>
  <si>
    <t>9298</t>
  </si>
  <si>
    <t>288398</t>
  </si>
  <si>
    <t>Huan62</t>
  </si>
  <si>
    <t>Skokka</t>
  </si>
  <si>
    <t>425202</t>
  </si>
  <si>
    <t>391779</t>
  </si>
  <si>
    <t>816981</t>
  </si>
  <si>
    <t>441803</t>
  </si>
  <si>
    <t>151193</t>
  </si>
  <si>
    <t>295086</t>
  </si>
  <si>
    <t>446279</t>
  </si>
  <si>
    <t>188</t>
  </si>
  <si>
    <t>6481</t>
  </si>
  <si>
    <t>6669</t>
  </si>
  <si>
    <t>319376</t>
  </si>
  <si>
    <t>150320</t>
  </si>
  <si>
    <t>312062</t>
  </si>
  <si>
    <t>462382</t>
  </si>
  <si>
    <t>329747</t>
  </si>
  <si>
    <t>27222</t>
  </si>
  <si>
    <t>139239</t>
  </si>
  <si>
    <t>166461</t>
  </si>
  <si>
    <t>142442</t>
  </si>
  <si>
    <t>164451</t>
  </si>
  <si>
    <t>253279</t>
  </si>
  <si>
    <t>417730</t>
  </si>
  <si>
    <t>272626</t>
  </si>
  <si>
    <t>258673</t>
  </si>
  <si>
    <t>342900</t>
  </si>
  <si>
    <t>601573</t>
  </si>
  <si>
    <t>386</t>
  </si>
  <si>
    <t>7118</t>
  </si>
  <si>
    <t>7504</t>
  </si>
  <si>
    <t>380495</t>
  </si>
  <si>
    <t>124633</t>
  </si>
  <si>
    <t>202471</t>
  </si>
  <si>
    <t>327104</t>
  </si>
  <si>
    <t>398</t>
  </si>
  <si>
    <t>5867</t>
  </si>
  <si>
    <t>6265</t>
  </si>
  <si>
    <t>223048</t>
  </si>
  <si>
    <t>263854</t>
  </si>
  <si>
    <t>380300</t>
  </si>
  <si>
    <t>644154</t>
  </si>
  <si>
    <t>411342</t>
  </si>
  <si>
    <t>149619</t>
  </si>
  <si>
    <t>291446</t>
  </si>
  <si>
    <t>441065</t>
  </si>
  <si>
    <t>309048</t>
  </si>
  <si>
    <t>106842</t>
  </si>
  <si>
    <t>304582</t>
  </si>
  <si>
    <t>411424</t>
  </si>
  <si>
    <t>317152</t>
  </si>
  <si>
    <t>346858</t>
  </si>
  <si>
    <t>364739</t>
  </si>
  <si>
    <t>711597</t>
  </si>
  <si>
    <t>405546</t>
  </si>
  <si>
    <t>119475</t>
  </si>
  <si>
    <t>328231</t>
  </si>
  <si>
    <t>447706</t>
  </si>
  <si>
    <t>342289</t>
  </si>
  <si>
    <t>178710</t>
  </si>
  <si>
    <t>347881</t>
  </si>
  <si>
    <t>526591</t>
  </si>
  <si>
    <t>368906</t>
  </si>
  <si>
    <t>131466</t>
  </si>
  <si>
    <t>237753</t>
  </si>
  <si>
    <t>369219</t>
  </si>
  <si>
    <t>5260</t>
  </si>
  <si>
    <t>5920</t>
  </si>
  <si>
    <t>258558</t>
  </si>
  <si>
    <t>191948</t>
  </si>
  <si>
    <t>310342</t>
  </si>
  <si>
    <t>502290</t>
  </si>
  <si>
    <t>436</t>
  </si>
  <si>
    <t>7917</t>
  </si>
  <si>
    <t>8353</t>
  </si>
  <si>
    <t>340892</t>
  </si>
  <si>
    <t>115264</t>
  </si>
  <si>
    <t>217091</t>
  </si>
  <si>
    <t>332355</t>
  </si>
  <si>
    <t>258</t>
  </si>
  <si>
    <t>5157</t>
  </si>
  <si>
    <t>5415</t>
  </si>
  <si>
    <t>235838</t>
  </si>
  <si>
    <t>145391</t>
  </si>
  <si>
    <t>232723</t>
  </si>
  <si>
    <t>378114</t>
  </si>
  <si>
    <t>249828</t>
  </si>
  <si>
    <t>94711</t>
  </si>
  <si>
    <t>237121</t>
  </si>
  <si>
    <t>331832</t>
  </si>
  <si>
    <t>252</t>
  </si>
  <si>
    <t>4615</t>
  </si>
  <si>
    <t>4867</t>
  </si>
  <si>
    <t>252908</t>
  </si>
  <si>
    <t>218409</t>
  </si>
  <si>
    <t>285757</t>
  </si>
  <si>
    <t>504166</t>
  </si>
  <si>
    <t>656</t>
  </si>
  <si>
    <t>8373</t>
  </si>
  <si>
    <t>9029</t>
  </si>
  <si>
    <t>319902</t>
  </si>
  <si>
    <t>62844</t>
  </si>
  <si>
    <t>186710</t>
  </si>
  <si>
    <t>249554</t>
  </si>
  <si>
    <t>42</t>
  </si>
  <si>
    <t>70</t>
  </si>
  <si>
    <t>112</t>
  </si>
  <si>
    <t>194178</t>
  </si>
  <si>
    <t>187770</t>
  </si>
  <si>
    <t>327980</t>
  </si>
  <si>
    <t>515750</t>
  </si>
  <si>
    <t>7265</t>
  </si>
  <si>
    <t>7649</t>
  </si>
  <si>
    <t>357381</t>
  </si>
  <si>
    <t>147782</t>
  </si>
  <si>
    <t>322334</t>
  </si>
  <si>
    <t>470116</t>
  </si>
  <si>
    <t>1692</t>
  </si>
  <si>
    <t>8179</t>
  </si>
  <si>
    <t>9871</t>
  </si>
  <si>
    <t>348098</t>
  </si>
  <si>
    <t>153383</t>
  </si>
  <si>
    <t>270499</t>
  </si>
  <si>
    <t>423882</t>
  </si>
  <si>
    <t>288544</t>
  </si>
  <si>
    <t>209119</t>
  </si>
  <si>
    <t>319390</t>
  </si>
  <si>
    <t>528509</t>
  </si>
  <si>
    <t>1061</t>
  </si>
  <si>
    <t>12052</t>
  </si>
  <si>
    <t>13113</t>
  </si>
  <si>
    <t>356169</t>
  </si>
  <si>
    <t>24003</t>
  </si>
  <si>
    <t>134208</t>
  </si>
  <si>
    <t>158211</t>
  </si>
  <si>
    <t>137032</t>
  </si>
  <si>
    <t>103057</t>
  </si>
  <si>
    <t>295101</t>
  </si>
  <si>
    <t>398158</t>
  </si>
  <si>
    <t>307225</t>
  </si>
  <si>
    <t>194759</t>
  </si>
  <si>
    <t>302090</t>
  </si>
  <si>
    <t>496849</t>
  </si>
  <si>
    <t>450</t>
  </si>
  <si>
    <t>8553</t>
  </si>
  <si>
    <t>9003</t>
  </si>
  <si>
    <t>333609</t>
  </si>
  <si>
    <t>153660</t>
  </si>
  <si>
    <t>191330</t>
  </si>
  <si>
    <t>344990</t>
  </si>
  <si>
    <t>556</t>
  </si>
  <si>
    <t>3959</t>
  </si>
  <si>
    <t>4515</t>
  </si>
  <si>
    <t>213432</t>
  </si>
  <si>
    <t>131578</t>
  </si>
  <si>
    <t>259987</t>
  </si>
  <si>
    <t>391565</t>
  </si>
  <si>
    <t>342</t>
  </si>
  <si>
    <t>4678</t>
  </si>
  <si>
    <t>5020</t>
  </si>
  <si>
    <t>280185</t>
  </si>
  <si>
    <t>201354</t>
  </si>
  <si>
    <t>252200</t>
  </si>
  <si>
    <t>453554</t>
  </si>
  <si>
    <t>275889</t>
  </si>
  <si>
    <t>Ferxxo 100</t>
  </si>
  <si>
    <t>129368</t>
  </si>
  <si>
    <t>299161</t>
  </si>
  <si>
    <t>428529</t>
  </si>
  <si>
    <t>140</t>
  </si>
  <si>
    <t>4206</t>
  </si>
  <si>
    <t>4346</t>
  </si>
  <si>
    <t>318603</t>
  </si>
  <si>
    <t>178168629,222959415,279812629</t>
  </si>
  <si>
    <t>211407</t>
  </si>
  <si>
    <t>283842</t>
  </si>
  <si>
    <t>495249</t>
  </si>
  <si>
    <t>308713</t>
  </si>
  <si>
    <t>119250</t>
  </si>
  <si>
    <t>244790</t>
  </si>
  <si>
    <t>364040</t>
  </si>
  <si>
    <t>165</t>
  </si>
  <si>
    <t>168</t>
  </si>
  <si>
    <t>258984</t>
  </si>
  <si>
    <t>SHAKIRA &amp; BEELE</t>
  </si>
  <si>
    <t>32145</t>
  </si>
  <si>
    <t>69639</t>
  </si>
  <si>
    <t>101784</t>
  </si>
  <si>
    <t>73421</t>
  </si>
  <si>
    <t>230584</t>
  </si>
  <si>
    <t>307247</t>
  </si>
  <si>
    <t>537831</t>
  </si>
  <si>
    <t>334375</t>
  </si>
  <si>
    <t>Tito Rojas</t>
  </si>
  <si>
    <t>Siempre Sere</t>
  </si>
  <si>
    <t>170448</t>
  </si>
  <si>
    <t>244482</t>
  </si>
  <si>
    <t>414930</t>
  </si>
  <si>
    <t>264535</t>
  </si>
  <si>
    <t>100318085,12996835,137792311,138197147,27924202,89278444</t>
  </si>
  <si>
    <t>Por Qué la Envidia</t>
  </si>
  <si>
    <t>219642</t>
  </si>
  <si>
    <t>247152</t>
  </si>
  <si>
    <t>466794</t>
  </si>
  <si>
    <t>272992</t>
  </si>
  <si>
    <t>193095246,24756728</t>
  </si>
  <si>
    <t>255825</t>
  </si>
  <si>
    <t>302549</t>
  </si>
  <si>
    <t>558374</t>
  </si>
  <si>
    <t>332646</t>
  </si>
  <si>
    <t>Don Omar, Kenpo Kapponi</t>
  </si>
  <si>
    <t>RX</t>
  </si>
  <si>
    <t>158371</t>
  </si>
  <si>
    <t>268513</t>
  </si>
  <si>
    <t>426884</t>
  </si>
  <si>
    <t>287145</t>
  </si>
  <si>
    <t>180199566,35156733</t>
  </si>
  <si>
    <t>81831</t>
  </si>
  <si>
    <t>230445</t>
  </si>
  <si>
    <t>312276</t>
  </si>
  <si>
    <t>240072</t>
  </si>
  <si>
    <t>Yandel</t>
  </si>
  <si>
    <t>Encantadora</t>
  </si>
  <si>
    <t>189923</t>
  </si>
  <si>
    <t>279132</t>
  </si>
  <si>
    <t>469055</t>
  </si>
  <si>
    <t>106</t>
  </si>
  <si>
    <t>4139</t>
  </si>
  <si>
    <t>4245</t>
  </si>
  <si>
    <t>305627</t>
  </si>
  <si>
    <t>12275432,266193661,6642224</t>
  </si>
  <si>
    <t>Un Perro Enamorado</t>
  </si>
  <si>
    <t>200765</t>
  </si>
  <si>
    <t>257274</t>
  </si>
  <si>
    <t>458039</t>
  </si>
  <si>
    <t>538</t>
  </si>
  <si>
    <t>7966</t>
  </si>
  <si>
    <t>8504</t>
  </si>
  <si>
    <t>288922</t>
  </si>
  <si>
    <t>26355166</t>
  </si>
  <si>
    <t>150467</t>
  </si>
  <si>
    <t>260480</t>
  </si>
  <si>
    <t>410947</t>
  </si>
  <si>
    <t>278182</t>
  </si>
  <si>
    <t>111655</t>
  </si>
  <si>
    <t>192050</t>
  </si>
  <si>
    <t>303705</t>
  </si>
  <si>
    <t>672</t>
  </si>
  <si>
    <t>3506</t>
  </si>
  <si>
    <t>4178</t>
  </si>
  <si>
    <t>208771</t>
  </si>
  <si>
    <t>189651</t>
  </si>
  <si>
    <t>262787</t>
  </si>
  <si>
    <t>452438</t>
  </si>
  <si>
    <t>285099</t>
  </si>
  <si>
    <t>111813</t>
  </si>
  <si>
    <t>280628</t>
  </si>
  <si>
    <t>392441</t>
  </si>
  <si>
    <t>333</t>
  </si>
  <si>
    <t>6022</t>
  </si>
  <si>
    <t>6355</t>
  </si>
  <si>
    <t>299843</t>
  </si>
  <si>
    <t>212308</t>
  </si>
  <si>
    <t>546436</t>
  </si>
  <si>
    <t>758744</t>
  </si>
  <si>
    <t>5170</t>
  </si>
  <si>
    <t>33579</t>
  </si>
  <si>
    <t>38749</t>
  </si>
  <si>
    <t>605600</t>
  </si>
  <si>
    <t>202624</t>
  </si>
  <si>
    <t>1</t>
  </si>
  <si>
    <t>384301</t>
  </si>
  <si>
    <t>948081</t>
  </si>
  <si>
    <t>1332382</t>
  </si>
  <si>
    <t>930</t>
  </si>
  <si>
    <t>5743</t>
  </si>
  <si>
    <t>6673</t>
  </si>
  <si>
    <t>999482</t>
  </si>
  <si>
    <t>429439</t>
  </si>
  <si>
    <t>933498</t>
  </si>
  <si>
    <t>1362937</t>
  </si>
  <si>
    <t>2439</t>
  </si>
  <si>
    <t>10219</t>
  </si>
  <si>
    <t>12658</t>
  </si>
  <si>
    <t>995200</t>
  </si>
  <si>
    <t>295173</t>
  </si>
  <si>
    <t>663580</t>
  </si>
  <si>
    <t>958753</t>
  </si>
  <si>
    <t>1979</t>
  </si>
  <si>
    <t>20519</t>
  </si>
  <si>
    <t>22498</t>
  </si>
  <si>
    <t>719058</t>
  </si>
  <si>
    <t>306809</t>
  </si>
  <si>
    <t>593302</t>
  </si>
  <si>
    <t>900111</t>
  </si>
  <si>
    <t>629397</t>
  </si>
  <si>
    <t>229322</t>
  </si>
  <si>
    <t>652938</t>
  </si>
  <si>
    <t>882260</t>
  </si>
  <si>
    <t>14738</t>
  </si>
  <si>
    <t>15394</t>
  </si>
  <si>
    <t>694732</t>
  </si>
  <si>
    <t>31376</t>
  </si>
  <si>
    <t>162951</t>
  </si>
  <si>
    <t>194327</t>
  </si>
  <si>
    <t>166642</t>
  </si>
  <si>
    <t>763208</t>
  </si>
  <si>
    <t>824848</t>
  </si>
  <si>
    <t>1588056</t>
  </si>
  <si>
    <t>914637</t>
  </si>
  <si>
    <t>Criss &amp; Ronny, TheKingDeejay, La Colectiva Élite</t>
  </si>
  <si>
    <t>EL AZOTE</t>
  </si>
  <si>
    <t>104987</t>
  </si>
  <si>
    <t>168202</t>
  </si>
  <si>
    <t>273189</t>
  </si>
  <si>
    <t>180553</t>
  </si>
  <si>
    <t>195799</t>
  </si>
  <si>
    <t>572845</t>
  </si>
  <si>
    <t>768644</t>
  </si>
  <si>
    <t>5980</t>
  </si>
  <si>
    <t>6326</t>
  </si>
  <si>
    <t>601901</t>
  </si>
  <si>
    <t>429932</t>
  </si>
  <si>
    <t>700509</t>
  </si>
  <si>
    <t>1130441</t>
  </si>
  <si>
    <t>1684</t>
  </si>
  <si>
    <t>15444</t>
  </si>
  <si>
    <t>17128</t>
  </si>
  <si>
    <t>766731</t>
  </si>
  <si>
    <t>571466</t>
  </si>
  <si>
    <t>717797</t>
  </si>
  <si>
    <t>1289263</t>
  </si>
  <si>
    <t>785028</t>
  </si>
  <si>
    <t>228477</t>
  </si>
  <si>
    <t>563394</t>
  </si>
  <si>
    <t>791871</t>
  </si>
  <si>
    <t>12850</t>
  </si>
  <si>
    <t>13530</t>
  </si>
  <si>
    <t>603204</t>
  </si>
  <si>
    <t>448948</t>
  </si>
  <si>
    <t>447655</t>
  </si>
  <si>
    <t>896603</t>
  </si>
  <si>
    <t>500472</t>
  </si>
  <si>
    <t>498301</t>
  </si>
  <si>
    <t>598913</t>
  </si>
  <si>
    <t>1097214</t>
  </si>
  <si>
    <t>657537</t>
  </si>
  <si>
    <t>24153</t>
  </si>
  <si>
    <t>77090</t>
  </si>
  <si>
    <t>101243</t>
  </si>
  <si>
    <t>154</t>
  </si>
  <si>
    <t>1587</t>
  </si>
  <si>
    <t>1741</t>
  </si>
  <si>
    <t>81537</t>
  </si>
  <si>
    <t>384431</t>
  </si>
  <si>
    <t>449895</t>
  </si>
  <si>
    <t>834326</t>
  </si>
  <si>
    <t>4142</t>
  </si>
  <si>
    <t>1678</t>
  </si>
  <si>
    <t>5820</t>
  </si>
  <si>
    <t>497287</t>
  </si>
  <si>
    <t>290757</t>
  </si>
  <si>
    <t>559234</t>
  </si>
  <si>
    <t>849991</t>
  </si>
  <si>
    <t>659</t>
  </si>
  <si>
    <t>11982</t>
  </si>
  <si>
    <t>12641</t>
  </si>
  <si>
    <t>605501</t>
  </si>
  <si>
    <t>19663</t>
  </si>
  <si>
    <t>56895</t>
  </si>
  <si>
    <t>76558</t>
  </si>
  <si>
    <t>59208</t>
  </si>
  <si>
    <t>641063</t>
  </si>
  <si>
    <t>651391</t>
  </si>
  <si>
    <t>1292454</t>
  </si>
  <si>
    <t>726810</t>
  </si>
  <si>
    <t>691104</t>
  </si>
  <si>
    <t>661800</t>
  </si>
  <si>
    <t>1352904</t>
  </si>
  <si>
    <t>743106</t>
  </si>
  <si>
    <t>217678</t>
  </si>
  <si>
    <t>471311</t>
  </si>
  <si>
    <t>688989</t>
  </si>
  <si>
    <t>496920</t>
  </si>
  <si>
    <t>Ryan Castro, SOG</t>
  </si>
  <si>
    <t>EL RITMO QUE NOS UNE - feat. Selección Colombia</t>
  </si>
  <si>
    <t>126034</t>
  </si>
  <si>
    <t>333522</t>
  </si>
  <si>
    <t>459556</t>
  </si>
  <si>
    <t>933</t>
  </si>
  <si>
    <t>8223</t>
  </si>
  <si>
    <t>9156</t>
  </si>
  <si>
    <t>356683</t>
  </si>
  <si>
    <t>242825102</t>
  </si>
  <si>
    <t>95059</t>
  </si>
  <si>
    <t>376269</t>
  </si>
  <si>
    <t>471328</t>
  </si>
  <si>
    <t>7702</t>
  </si>
  <si>
    <t>8044</t>
  </si>
  <si>
    <t>395194</t>
  </si>
  <si>
    <t>260796</t>
  </si>
  <si>
    <t>338376</t>
  </si>
  <si>
    <t>599172</t>
  </si>
  <si>
    <t>1722</t>
  </si>
  <si>
    <t>7383</t>
  </si>
  <si>
    <t>9105</t>
  </si>
  <si>
    <t>376644</t>
  </si>
  <si>
    <t>241834</t>
  </si>
  <si>
    <t>628594</t>
  </si>
  <si>
    <t>870428</t>
  </si>
  <si>
    <t>657045</t>
  </si>
  <si>
    <t>190516</t>
  </si>
  <si>
    <t>431483</t>
  </si>
  <si>
    <t>621999</t>
  </si>
  <si>
    <t>534</t>
  </si>
  <si>
    <t>8460</t>
  </si>
  <si>
    <t>8994</t>
  </si>
  <si>
    <t>462420</t>
  </si>
  <si>
    <t>165455</t>
  </si>
  <si>
    <t>403299</t>
  </si>
  <si>
    <t>568754</t>
  </si>
  <si>
    <t>422764</t>
  </si>
  <si>
    <t>72813</t>
  </si>
  <si>
    <t>322346</t>
  </si>
  <si>
    <t>395159</t>
  </si>
  <si>
    <t>330912</t>
  </si>
  <si>
    <t>430569</t>
  </si>
  <si>
    <t>456213</t>
  </si>
  <si>
    <t>886782</t>
  </si>
  <si>
    <t>506868</t>
  </si>
  <si>
    <t>60030</t>
  </si>
  <si>
    <t>176719</t>
  </si>
  <si>
    <t>236749</t>
  </si>
  <si>
    <t>245</t>
  </si>
  <si>
    <t>7506</t>
  </si>
  <si>
    <t>7751</t>
  </si>
  <si>
    <t>191316</t>
  </si>
  <si>
    <t>328716</t>
  </si>
  <si>
    <t>510734</t>
  </si>
  <si>
    <t>839450</t>
  </si>
  <si>
    <t>549406</t>
  </si>
  <si>
    <t>153323</t>
  </si>
  <si>
    <t>314864</t>
  </si>
  <si>
    <t>468187</t>
  </si>
  <si>
    <t>563</t>
  </si>
  <si>
    <t>7835</t>
  </si>
  <si>
    <t>8398</t>
  </si>
  <si>
    <t>340803</t>
  </si>
  <si>
    <t>165848</t>
  </si>
  <si>
    <t>349406</t>
  </si>
  <si>
    <t>515254</t>
  </si>
  <si>
    <t>273</t>
  </si>
  <si>
    <t>7255</t>
  </si>
  <si>
    <t>7528</t>
  </si>
  <si>
    <t>376205</t>
  </si>
  <si>
    <t>284112</t>
  </si>
  <si>
    <t>452692</t>
  </si>
  <si>
    <t>736804</t>
  </si>
  <si>
    <t>486117</t>
  </si>
  <si>
    <t>188365</t>
  </si>
  <si>
    <t>394792</t>
  </si>
  <si>
    <t>583157</t>
  </si>
  <si>
    <t>323</t>
  </si>
  <si>
    <t>6920</t>
  </si>
  <si>
    <t>7243</t>
  </si>
  <si>
    <t>423911</t>
  </si>
  <si>
    <t>186351</t>
  </si>
  <si>
    <t>372847</t>
  </si>
  <si>
    <t>559198</t>
  </si>
  <si>
    <t>532</t>
  </si>
  <si>
    <t>11327</t>
  </si>
  <si>
    <t>11859</t>
  </si>
  <si>
    <t>406161</t>
  </si>
  <si>
    <t>FUERZA REGIDA &amp; GRUPO FRONTERA</t>
  </si>
  <si>
    <t>307226</t>
  </si>
  <si>
    <t>431457</t>
  </si>
  <si>
    <t>738683</t>
  </si>
  <si>
    <t>467601</t>
  </si>
  <si>
    <t>153030</t>
  </si>
  <si>
    <t>315492</t>
  </si>
  <si>
    <t>468522</t>
  </si>
  <si>
    <t>333496</t>
  </si>
  <si>
    <t>144354</t>
  </si>
  <si>
    <t>299735</t>
  </si>
  <si>
    <t>444089</t>
  </si>
  <si>
    <t>207</t>
  </si>
  <si>
    <t>6344</t>
  </si>
  <si>
    <t>6551</t>
  </si>
  <si>
    <t>323086</t>
  </si>
  <si>
    <t>248352</t>
  </si>
  <si>
    <t>341496</t>
  </si>
  <si>
    <t>589848</t>
  </si>
  <si>
    <t>370714</t>
  </si>
  <si>
    <t>157394</t>
  </si>
  <si>
    <t>326874</t>
  </si>
  <si>
    <t>484268</t>
  </si>
  <si>
    <t>345391</t>
  </si>
  <si>
    <t>245735</t>
  </si>
  <si>
    <t>370111</t>
  </si>
  <si>
    <t>615846</t>
  </si>
  <si>
    <t>650</t>
  </si>
  <si>
    <t>13197</t>
  </si>
  <si>
    <t>13847</t>
  </si>
  <si>
    <t>412294</t>
  </si>
  <si>
    <t>268692</t>
  </si>
  <si>
    <t>385620</t>
  </si>
  <si>
    <t>654312</t>
  </si>
  <si>
    <t>300</t>
  </si>
  <si>
    <t>7715</t>
  </si>
  <si>
    <t>8015</t>
  </si>
  <si>
    <t>424981</t>
  </si>
  <si>
    <t>257343</t>
  </si>
  <si>
    <t>430597</t>
  </si>
  <si>
    <t>687940</t>
  </si>
  <si>
    <t>460873</t>
  </si>
  <si>
    <t>113186</t>
  </si>
  <si>
    <t>221441</t>
  </si>
  <si>
    <t>334627</t>
  </si>
  <si>
    <t>512</t>
  </si>
  <si>
    <t>5215</t>
  </si>
  <si>
    <t>5727</t>
  </si>
  <si>
    <t>240032</t>
  </si>
  <si>
    <t>221105</t>
  </si>
  <si>
    <t>400745</t>
  </si>
  <si>
    <t>621850</t>
  </si>
  <si>
    <t>14042</t>
  </si>
  <si>
    <t>14673</t>
  </si>
  <si>
    <t>440873</t>
  </si>
  <si>
    <t>323681</t>
  </si>
  <si>
    <t>395389</t>
  </si>
  <si>
    <t>719070</t>
  </si>
  <si>
    <t>433469</t>
  </si>
  <si>
    <t>152283</t>
  </si>
  <si>
    <t>451444</t>
  </si>
  <si>
    <t>175</t>
  </si>
  <si>
    <t>5756</t>
  </si>
  <si>
    <t>5931</t>
  </si>
  <si>
    <t>322854</t>
  </si>
  <si>
    <t>181093</t>
  </si>
  <si>
    <t>347078</t>
  </si>
  <si>
    <t>528171</t>
  </si>
  <si>
    <t>22</t>
  </si>
  <si>
    <t>442</t>
  </si>
  <si>
    <t>464</t>
  </si>
  <si>
    <t>368828</t>
  </si>
  <si>
    <t>70699</t>
  </si>
  <si>
    <t>212883</t>
  </si>
  <si>
    <t>283582</t>
  </si>
  <si>
    <t>401</t>
  </si>
  <si>
    <t>4262</t>
  </si>
  <si>
    <t>4663</t>
  </si>
  <si>
    <t>225510</t>
  </si>
  <si>
    <t>171223</t>
  </si>
  <si>
    <t>319212</t>
  </si>
  <si>
    <t>490435</t>
  </si>
  <si>
    <t>366</t>
  </si>
  <si>
    <t>10763</t>
  </si>
  <si>
    <t>11129</t>
  </si>
  <si>
    <t>350162</t>
  </si>
  <si>
    <t>397494</t>
  </si>
  <si>
    <t>395454</t>
  </si>
  <si>
    <t>792948</t>
  </si>
  <si>
    <t>1151</t>
  </si>
  <si>
    <t>11697</t>
  </si>
  <si>
    <t>12848</t>
  </si>
  <si>
    <t>454050</t>
  </si>
  <si>
    <t>226475</t>
  </si>
  <si>
    <t>264123</t>
  </si>
  <si>
    <t>490598</t>
  </si>
  <si>
    <t>812</t>
  </si>
  <si>
    <t>9413</t>
  </si>
  <si>
    <t>10225</t>
  </si>
  <si>
    <t>300276</t>
  </si>
  <si>
    <t>129411</t>
  </si>
  <si>
    <t>307224</t>
  </si>
  <si>
    <t>436635</t>
  </si>
  <si>
    <t>194</t>
  </si>
  <si>
    <t>322638</t>
  </si>
  <si>
    <t>271465</t>
  </si>
  <si>
    <t>371317</t>
  </si>
  <si>
    <t>642782</t>
  </si>
  <si>
    <t>921</t>
  </si>
  <si>
    <t>10115</t>
  </si>
  <si>
    <t>11036</t>
  </si>
  <si>
    <t>413477</t>
  </si>
  <si>
    <t>215108</t>
  </si>
  <si>
    <t>401656</t>
  </si>
  <si>
    <t>616764</t>
  </si>
  <si>
    <t>1790</t>
  </si>
  <si>
    <t>8722</t>
  </si>
  <si>
    <t>10512</t>
  </si>
  <si>
    <t>435896</t>
  </si>
  <si>
    <t>GAMINA</t>
  </si>
  <si>
    <t>347839</t>
  </si>
  <si>
    <t>387883</t>
  </si>
  <si>
    <t>735722</t>
  </si>
  <si>
    <t>428805</t>
  </si>
  <si>
    <t>308256682</t>
  </si>
  <si>
    <t>mi refe</t>
  </si>
  <si>
    <t>173107</t>
  </si>
  <si>
    <t>317945</t>
  </si>
  <si>
    <t>491052</t>
  </si>
  <si>
    <t>295</t>
  </si>
  <si>
    <t>7415</t>
  </si>
  <si>
    <t>7710</t>
  </si>
  <si>
    <t>345761</t>
  </si>
  <si>
    <t>145406</t>
  </si>
  <si>
    <t>287202</t>
  </si>
  <si>
    <t>432608</t>
  </si>
  <si>
    <t>156</t>
  </si>
  <si>
    <t>5878</t>
  </si>
  <si>
    <t>6034</t>
  </si>
  <si>
    <t>310205</t>
  </si>
  <si>
    <t>234193</t>
  </si>
  <si>
    <t>340142</t>
  </si>
  <si>
    <t>574335</t>
  </si>
  <si>
    <t>120</t>
  </si>
  <si>
    <t>4779</t>
  </si>
  <si>
    <t>4899</t>
  </si>
  <si>
    <t>372487</t>
  </si>
  <si>
    <t>254181</t>
  </si>
  <si>
    <t>333107</t>
  </si>
  <si>
    <t>587288</t>
  </si>
  <si>
    <t>387</t>
  </si>
  <si>
    <t>7117</t>
  </si>
  <si>
    <t>370174</t>
  </si>
  <si>
    <t>146758</t>
  </si>
  <si>
    <t>297222</t>
  </si>
  <si>
    <t>443980</t>
  </si>
  <si>
    <t>314488</t>
  </si>
  <si>
    <t>341020</t>
  </si>
  <si>
    <t>362289</t>
  </si>
  <si>
    <t>703309</t>
  </si>
  <si>
    <t>402409</t>
  </si>
  <si>
    <t>136256</t>
  </si>
  <si>
    <t>252268</t>
  </si>
  <si>
    <t>388524</t>
  </si>
  <si>
    <t>309</t>
  </si>
  <si>
    <t>4465</t>
  </si>
  <si>
    <t>4774</t>
  </si>
  <si>
    <t>272799</t>
  </si>
  <si>
    <t>148179</t>
  </si>
  <si>
    <t>287425</t>
  </si>
  <si>
    <t>435604</t>
  </si>
  <si>
    <t>304858</t>
  </si>
  <si>
    <t>220269</t>
  </si>
  <si>
    <t>287111</t>
  </si>
  <si>
    <t>507380</t>
  </si>
  <si>
    <t>678</t>
  </si>
  <si>
    <t>8209</t>
  </si>
  <si>
    <t>8887</t>
  </si>
  <si>
    <t>321314</t>
  </si>
  <si>
    <t>92702</t>
  </si>
  <si>
    <t>238582</t>
  </si>
  <si>
    <t>331284</t>
  </si>
  <si>
    <t>210</t>
  </si>
  <si>
    <t>4645</t>
  </si>
  <si>
    <t>4855</t>
  </si>
  <si>
    <t>254158</t>
  </si>
  <si>
    <t>158392</t>
  </si>
  <si>
    <t>243185</t>
  </si>
  <si>
    <t>401577</t>
  </si>
  <si>
    <t>261819</t>
  </si>
  <si>
    <t>287634700,287849198</t>
  </si>
  <si>
    <t>180454</t>
  </si>
  <si>
    <t>339156</t>
  </si>
  <si>
    <t>519610</t>
  </si>
  <si>
    <t>360386</t>
  </si>
  <si>
    <t>102300</t>
  </si>
  <si>
    <t>294416</t>
  </si>
  <si>
    <t>396716</t>
  </si>
  <si>
    <t>306451</t>
  </si>
  <si>
    <t>113464</t>
  </si>
  <si>
    <t>303037</t>
  </si>
  <si>
    <t>416501</t>
  </si>
  <si>
    <t>316386</t>
  </si>
  <si>
    <t>Come Over</t>
  </si>
  <si>
    <t>12</t>
  </si>
  <si>
    <t>137567</t>
  </si>
  <si>
    <t>352143</t>
  </si>
  <si>
    <t>489710</t>
  </si>
  <si>
    <t>372567</t>
  </si>
  <si>
    <t>Feid, Granuja</t>
  </si>
  <si>
    <t>50 MIL PIEX</t>
  </si>
  <si>
    <t>72885</t>
  </si>
  <si>
    <t>361699</t>
  </si>
  <si>
    <t>434584</t>
  </si>
  <si>
    <t>370274</t>
  </si>
  <si>
    <t>195800</t>
  </si>
  <si>
    <t>308617</t>
  </si>
  <si>
    <t>504417</t>
  </si>
  <si>
    <t>480</t>
  </si>
  <si>
    <t>8883</t>
  </si>
  <si>
    <t>9363</t>
  </si>
  <si>
    <t>340591</t>
  </si>
  <si>
    <t>244594</t>
  </si>
  <si>
    <t>331532</t>
  </si>
  <si>
    <t>576126</t>
  </si>
  <si>
    <t>360308</t>
  </si>
  <si>
    <t>56529</t>
  </si>
  <si>
    <t>157192</t>
  </si>
  <si>
    <t>213721</t>
  </si>
  <si>
    <t>66</t>
  </si>
  <si>
    <t>57</t>
  </si>
  <si>
    <t>123</t>
  </si>
  <si>
    <t>163907</t>
  </si>
  <si>
    <t>W Sound, J Balvin, Ovy On The Drums</t>
  </si>
  <si>
    <t>Godzila</t>
  </si>
  <si>
    <t>72616</t>
  </si>
  <si>
    <t>283452</t>
  </si>
  <si>
    <t>356068</t>
  </si>
  <si>
    <t>291995</t>
  </si>
  <si>
    <t>240918</t>
  </si>
  <si>
    <t>326374</t>
  </si>
  <si>
    <t>567292</t>
  </si>
  <si>
    <t>354717</t>
  </si>
  <si>
    <t>KAROL G, Feid, DFZM, Ovy On The Drums, J Balvin, Maluma, Ryan Castro, Blessd</t>
  </si>
  <si>
    <t>+57</t>
  </si>
  <si>
    <t>163442</t>
  </si>
  <si>
    <t>301710</t>
  </si>
  <si>
    <t>465152</t>
  </si>
  <si>
    <t>570</t>
  </si>
  <si>
    <t>9367</t>
  </si>
  <si>
    <t>9937</t>
  </si>
  <si>
    <t>330372</t>
  </si>
  <si>
    <t>255598949</t>
  </si>
  <si>
    <t>273311</t>
  </si>
  <si>
    <t>311255</t>
  </si>
  <si>
    <t>584566</t>
  </si>
  <si>
    <t>343409</t>
  </si>
  <si>
    <t>179488</t>
  </si>
  <si>
    <t>287790</t>
  </si>
  <si>
    <t>467278</t>
  </si>
  <si>
    <t>344</t>
  </si>
  <si>
    <t>6981</t>
  </si>
  <si>
    <t>7325</t>
  </si>
  <si>
    <t>315927</t>
  </si>
  <si>
    <t>160158</t>
  </si>
  <si>
    <t>220683</t>
  </si>
  <si>
    <t>380841</t>
  </si>
  <si>
    <t>239525</t>
  </si>
  <si>
    <t>108017</t>
  </si>
  <si>
    <t>204917</t>
  </si>
  <si>
    <t>312934</t>
  </si>
  <si>
    <t>240</t>
  </si>
  <si>
    <t>4209</t>
  </si>
  <si>
    <t>4449</t>
  </si>
  <si>
    <t>221862</t>
  </si>
  <si>
    <t>195320</t>
  </si>
  <si>
    <t>264594</t>
  </si>
  <si>
    <t>459914</t>
  </si>
  <si>
    <t>647</t>
  </si>
  <si>
    <t>8431</t>
  </si>
  <si>
    <t>9078</t>
  </si>
  <si>
    <t>296080</t>
  </si>
  <si>
    <t>120166</t>
  </si>
  <si>
    <t>189734</t>
  </si>
  <si>
    <t>309900</t>
  </si>
  <si>
    <t>6243</t>
  </si>
  <si>
    <t>6644</t>
  </si>
  <si>
    <t>210161</t>
  </si>
  <si>
    <t>Don Omar, Plan B</t>
  </si>
  <si>
    <t>Hooka</t>
  </si>
  <si>
    <t>150824</t>
  </si>
  <si>
    <t>286374</t>
  </si>
  <si>
    <t>437198</t>
  </si>
  <si>
    <t>304118</t>
  </si>
  <si>
    <t>28300205</t>
  </si>
  <si>
    <t>Grupo Firme, Gerardo Coronel</t>
  </si>
  <si>
    <t>Qué Onda Perdida</t>
  </si>
  <si>
    <t>116899</t>
  </si>
  <si>
    <t>272258</t>
  </si>
  <si>
    <t>389157</t>
  </si>
  <si>
    <t>286011</t>
  </si>
  <si>
    <t>206734175</t>
  </si>
  <si>
    <t>Maluma</t>
  </si>
  <si>
    <t>Tu recuerdo</t>
  </si>
  <si>
    <t>37446</t>
  </si>
  <si>
    <t>97193</t>
  </si>
  <si>
    <t>134639</t>
  </si>
  <si>
    <t>58</t>
  </si>
  <si>
    <t>2075</t>
  </si>
  <si>
    <t>2133</t>
  </si>
  <si>
    <t>103680</t>
  </si>
  <si>
    <t>220749</t>
  </si>
  <si>
    <t>253203</t>
  </si>
  <si>
    <t>473952</t>
  </si>
  <si>
    <t>279173</t>
  </si>
  <si>
    <t>164329</t>
  </si>
  <si>
    <t>245390</t>
  </si>
  <si>
    <t>409719</t>
  </si>
  <si>
    <t>264723</t>
  </si>
  <si>
    <t>206797</t>
  </si>
  <si>
    <t>278937</t>
  </si>
  <si>
    <t>485734</t>
  </si>
  <si>
    <t>303266</t>
  </si>
  <si>
    <t>Calibre 50</t>
  </si>
  <si>
    <t>Si Te Pudiera Mentir</t>
  </si>
  <si>
    <t>93788</t>
  </si>
  <si>
    <t>220464</t>
  </si>
  <si>
    <t>314252</t>
  </si>
  <si>
    <t>158</t>
  </si>
  <si>
    <t>4691</t>
  </si>
  <si>
    <t>236050</t>
  </si>
  <si>
    <t>113424110</t>
  </si>
  <si>
    <t>17051</t>
  </si>
  <si>
    <t>99190</t>
  </si>
  <si>
    <t>116241</t>
  </si>
  <si>
    <t>101196</t>
  </si>
  <si>
    <t>140386</t>
  </si>
  <si>
    <t>208141</t>
  </si>
  <si>
    <t>348527</t>
  </si>
  <si>
    <t>224657</t>
  </si>
  <si>
    <t>96468</t>
  </si>
  <si>
    <t>274066</t>
  </si>
  <si>
    <t>370534</t>
  </si>
  <si>
    <t>285415</t>
  </si>
  <si>
    <t>128474</t>
  </si>
  <si>
    <t>287535</t>
  </si>
  <si>
    <t>416009</t>
  </si>
  <si>
    <t>88</t>
  </si>
  <si>
    <t>4085</t>
  </si>
  <si>
    <t>4173</t>
  </si>
  <si>
    <t>306745</t>
  </si>
  <si>
    <t>193829</t>
  </si>
  <si>
    <t>241594</t>
  </si>
  <si>
    <t>435423</t>
  </si>
  <si>
    <t>264397</t>
  </si>
  <si>
    <t>161264</t>
  </si>
  <si>
    <t>270116</t>
  </si>
  <si>
    <t>431380</t>
  </si>
  <si>
    <t>289088</t>
  </si>
  <si>
    <t>175608</t>
  </si>
  <si>
    <t>293671</t>
  </si>
  <si>
    <t>469279</t>
  </si>
  <si>
    <t>6539</t>
  </si>
  <si>
    <t>6883</t>
  </si>
  <si>
    <t>320910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</si>
</sst>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rgb="FF434343"/>
      <name val="Roboto"/>
    </font>
    <font>
      <sz val="11"/>
      <color rgb="FF434343"/>
      <name val="Calibri"/>
    </font>
    <font>
      <sz val="11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6F8F9"/>
        <bgColor rgb="FFF6F8F9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3" fillId="3" borderId="0" xfId="0" applyFont="1" applyFill="1"/>
    <xf numFmtId="3" fontId="2" fillId="2" borderId="1" xfId="0" applyNumberFormat="1" applyFont="1" applyFill="1" applyBorder="1"/>
    <xf numFmtId="3" fontId="2" fillId="2" borderId="1" xfId="0" applyNumberFormat="1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right"/>
    </xf>
    <xf numFmtId="10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3" fontId="2" fillId="5" borderId="1" xfId="0" applyNumberFormat="1" applyFont="1" applyFill="1" applyBorder="1"/>
    <xf numFmtId="3" fontId="2" fillId="5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10" fontId="2" fillId="6" borderId="1" xfId="0" applyNumberFormat="1" applyFont="1" applyFill="1" applyBorder="1" applyAlignment="1">
      <alignment horizontal="right"/>
    </xf>
    <xf numFmtId="3" fontId="4" fillId="3" borderId="1" xfId="0" applyNumberFormat="1" applyFont="1" applyFill="1" applyBorder="1" applyAlignment="1">
      <alignment horizontal="right"/>
    </xf>
    <xf numFmtId="10" fontId="4" fillId="3" borderId="1" xfId="0" applyNumberFormat="1" applyFont="1" applyFill="1" applyBorder="1" applyAlignment="1">
      <alignment horizontal="right"/>
    </xf>
    <xf numFmtId="0" fontId="2" fillId="0" borderId="1" xfId="0" applyFont="1" applyBorder="1"/>
    <xf numFmtId="3" fontId="4" fillId="5" borderId="1" xfId="0" applyNumberFormat="1" applyFont="1" applyFill="1" applyBorder="1" applyAlignment="1">
      <alignment horizontal="right"/>
    </xf>
    <xf numFmtId="10" fontId="4" fillId="5" borderId="1" xfId="0" applyNumberFormat="1" applyFont="1" applyFill="1" applyBorder="1" applyAlignment="1">
      <alignment horizontal="right"/>
    </xf>
    <xf numFmtId="0" fontId="2" fillId="5" borderId="0" xfId="0" applyFont="1" applyFill="1"/>
    <xf numFmtId="0" fontId="2" fillId="5" borderId="2" xfId="0" applyFont="1" applyFill="1" applyBorder="1"/>
    <xf numFmtId="0" fontId="2" fillId="5" borderId="2" xfId="0" applyFont="1" applyFill="1" applyBorder="1" applyAlignment="1">
      <alignment horizontal="right"/>
    </xf>
    <xf numFmtId="0" fontId="3" fillId="3" borderId="3" xfId="0" applyFont="1" applyFill="1" applyBorder="1"/>
    <xf numFmtId="3" fontId="2" fillId="5" borderId="2" xfId="0" applyNumberFormat="1" applyFont="1" applyFill="1" applyBorder="1"/>
    <xf numFmtId="3" fontId="2" fillId="5" borderId="2" xfId="0" applyNumberFormat="1" applyFont="1" applyFill="1" applyBorder="1" applyAlignment="1">
      <alignment horizontal="right"/>
    </xf>
    <xf numFmtId="3" fontId="4" fillId="3" borderId="2" xfId="0" applyNumberFormat="1" applyFont="1" applyFill="1" applyBorder="1" applyAlignment="1">
      <alignment horizontal="right"/>
    </xf>
    <xf numFmtId="10" fontId="4" fillId="3" borderId="2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0" fontId="5" fillId="3" borderId="0" xfId="0" applyFont="1" applyFill="1"/>
    <xf numFmtId="0" fontId="5" fillId="5" borderId="0" xfId="0" applyFont="1" applyFill="1"/>
    <xf numFmtId="0" fontId="5" fillId="3" borderId="0" xfId="0" applyFont="1" applyFill="1" applyAlignment="1">
      <alignment horizontal="right"/>
    </xf>
    <xf numFmtId="0" fontId="5" fillId="0" borderId="0" xfId="0" applyFont="1"/>
    <xf numFmtId="3" fontId="2" fillId="3" borderId="1" xfId="0" applyNumberFormat="1" applyFont="1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right"/>
    </xf>
    <xf numFmtId="0" fontId="5" fillId="3" borderId="0" xfId="0" quotePrefix="1" applyFont="1" applyFill="1"/>
    <xf numFmtId="0" fontId="5" fillId="3" borderId="3" xfId="0" applyFont="1" applyFill="1" applyBorder="1"/>
    <xf numFmtId="3" fontId="2" fillId="2" borderId="2" xfId="0" applyNumberFormat="1" applyFont="1" applyFill="1" applyBorder="1"/>
    <xf numFmtId="3" fontId="2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10" fontId="2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33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66">
    <tableStyle name="1 junio-style" pivot="0" count="2" xr9:uid="{00000000-0011-0000-FFFF-FFFF00000000}">
      <tableStyleElement type="firstRowStripe" dxfId="331"/>
      <tableStyleElement type="secondRowStripe" dxfId="330"/>
    </tableStyle>
    <tableStyle name="1 junio-style 2" pivot="0" count="2" xr9:uid="{00000000-0011-0000-FFFF-FFFF01000000}">
      <tableStyleElement type="firstRowStripe" dxfId="329"/>
      <tableStyleElement type="secondRowStripe" dxfId="328"/>
    </tableStyle>
    <tableStyle name="1 junio-style 3" pivot="0" count="2" xr9:uid="{00000000-0011-0000-FFFF-FFFF02000000}">
      <tableStyleElement type="firstRowStripe" dxfId="327"/>
      <tableStyleElement type="secondRowStripe" dxfId="326"/>
    </tableStyle>
    <tableStyle name="1 junio-style 4" pivot="0" count="2" xr9:uid="{00000000-0011-0000-FFFF-FFFF03000000}">
      <tableStyleElement type="firstRowStripe" dxfId="325"/>
      <tableStyleElement type="secondRowStripe" dxfId="324"/>
    </tableStyle>
    <tableStyle name="1 junio-style 5" pivot="0" count="2" xr9:uid="{00000000-0011-0000-FFFF-FFFF04000000}">
      <tableStyleElement type="firstRowStripe" dxfId="323"/>
      <tableStyleElement type="secondRowStripe" dxfId="322"/>
    </tableStyle>
    <tableStyle name="1 junio-style 6" pivot="0" count="2" xr9:uid="{00000000-0011-0000-FFFF-FFFF05000000}">
      <tableStyleElement type="firstRowStripe" dxfId="321"/>
      <tableStyleElement type="secondRowStripe" dxfId="320"/>
    </tableStyle>
    <tableStyle name="1 junio-style 7" pivot="0" count="2" xr9:uid="{00000000-0011-0000-FFFF-FFFF06000000}">
      <tableStyleElement type="firstRowStripe" dxfId="319"/>
      <tableStyleElement type="secondRowStripe" dxfId="318"/>
    </tableStyle>
    <tableStyle name="1 junio-style 8" pivot="0" count="2" xr9:uid="{00000000-0011-0000-FFFF-FFFF07000000}">
      <tableStyleElement type="firstRowStripe" dxfId="317"/>
      <tableStyleElement type="secondRowStripe" dxfId="316"/>
    </tableStyle>
    <tableStyle name="1 junio-style 9" pivot="0" count="2" xr9:uid="{00000000-0011-0000-FFFF-FFFF08000000}">
      <tableStyleElement type="firstRowStripe" dxfId="315"/>
      <tableStyleElement type="secondRowStripe" dxfId="314"/>
    </tableStyle>
    <tableStyle name="1 junio-style 10" pivot="0" count="2" xr9:uid="{00000000-0011-0000-FFFF-FFFF09000000}">
      <tableStyleElement type="firstRowStripe" dxfId="313"/>
      <tableStyleElement type="secondRowStripe" dxfId="312"/>
    </tableStyle>
    <tableStyle name="1 junio-style 11" pivot="0" count="2" xr9:uid="{00000000-0011-0000-FFFF-FFFF0A000000}">
      <tableStyleElement type="firstRowStripe" dxfId="311"/>
      <tableStyleElement type="secondRowStripe" dxfId="310"/>
    </tableStyle>
    <tableStyle name="1 junio-style 12" pivot="0" count="2" xr9:uid="{00000000-0011-0000-FFFF-FFFF0B000000}">
      <tableStyleElement type="firstRowStripe" dxfId="309"/>
      <tableStyleElement type="secondRowStripe" dxfId="308"/>
    </tableStyle>
    <tableStyle name="1 junio-style 13" pivot="0" count="2" xr9:uid="{00000000-0011-0000-FFFF-FFFF0C000000}">
      <tableStyleElement type="firstRowStripe" dxfId="307"/>
      <tableStyleElement type="secondRowStripe" dxfId="306"/>
    </tableStyle>
    <tableStyle name="2 junio-style" pivot="0" count="2" xr9:uid="{00000000-0011-0000-FFFF-FFFF0D000000}">
      <tableStyleElement type="firstRowStripe" dxfId="305"/>
      <tableStyleElement type="secondRowStripe" dxfId="304"/>
    </tableStyle>
    <tableStyle name="2 junio-style 2" pivot="0" count="2" xr9:uid="{00000000-0011-0000-FFFF-FFFF0E000000}">
      <tableStyleElement type="firstRowStripe" dxfId="303"/>
      <tableStyleElement type="secondRowStripe" dxfId="302"/>
    </tableStyle>
    <tableStyle name="2 junio-style 3" pivot="0" count="2" xr9:uid="{00000000-0011-0000-FFFF-FFFF0F000000}">
      <tableStyleElement type="firstRowStripe" dxfId="301"/>
      <tableStyleElement type="secondRowStripe" dxfId="300"/>
    </tableStyle>
    <tableStyle name="2 junio-style 4" pivot="0" count="2" xr9:uid="{00000000-0011-0000-FFFF-FFFF10000000}">
      <tableStyleElement type="firstRowStripe" dxfId="299"/>
      <tableStyleElement type="secondRowStripe" dxfId="298"/>
    </tableStyle>
    <tableStyle name="2 junio-style 5" pivot="0" count="2" xr9:uid="{00000000-0011-0000-FFFF-FFFF11000000}">
      <tableStyleElement type="firstRowStripe" dxfId="297"/>
      <tableStyleElement type="secondRowStripe" dxfId="296"/>
    </tableStyle>
    <tableStyle name="2 junio-style 6" pivot="0" count="2" xr9:uid="{00000000-0011-0000-FFFF-FFFF12000000}">
      <tableStyleElement type="firstRowStripe" dxfId="295"/>
      <tableStyleElement type="secondRowStripe" dxfId="294"/>
    </tableStyle>
    <tableStyle name="2 junio-style 7" pivot="0" count="2" xr9:uid="{00000000-0011-0000-FFFF-FFFF13000000}">
      <tableStyleElement type="firstRowStripe" dxfId="293"/>
      <tableStyleElement type="secondRowStripe" dxfId="292"/>
    </tableStyle>
    <tableStyle name="2 junio-style 8" pivot="0" count="2" xr9:uid="{00000000-0011-0000-FFFF-FFFF14000000}">
      <tableStyleElement type="firstRowStripe" dxfId="291"/>
      <tableStyleElement type="secondRowStripe" dxfId="290"/>
    </tableStyle>
    <tableStyle name="2 junio-style 9" pivot="0" count="2" xr9:uid="{00000000-0011-0000-FFFF-FFFF15000000}">
      <tableStyleElement type="firstRowStripe" dxfId="289"/>
      <tableStyleElement type="secondRowStripe" dxfId="288"/>
    </tableStyle>
    <tableStyle name="2 junio-style 10" pivot="0" count="2" xr9:uid="{00000000-0011-0000-FFFF-FFFF16000000}">
      <tableStyleElement type="firstRowStripe" dxfId="287"/>
      <tableStyleElement type="secondRowStripe" dxfId="286"/>
    </tableStyle>
    <tableStyle name="2 junio-style 11" pivot="0" count="2" xr9:uid="{00000000-0011-0000-FFFF-FFFF17000000}">
      <tableStyleElement type="firstRowStripe" dxfId="285"/>
      <tableStyleElement type="secondRowStripe" dxfId="284"/>
    </tableStyle>
    <tableStyle name="2 junio-style 12" pivot="0" count="2" xr9:uid="{00000000-0011-0000-FFFF-FFFF18000000}">
      <tableStyleElement type="firstRowStripe" dxfId="283"/>
      <tableStyleElement type="secondRowStripe" dxfId="282"/>
    </tableStyle>
    <tableStyle name="2 junio-style 13" pivot="0" count="2" xr9:uid="{00000000-0011-0000-FFFF-FFFF19000000}">
      <tableStyleElement type="firstRowStripe" dxfId="281"/>
      <tableStyleElement type="secondRowStripe" dxfId="280"/>
    </tableStyle>
    <tableStyle name="2 junio-style 14" pivot="0" count="2" xr9:uid="{00000000-0011-0000-FFFF-FFFF1A000000}">
      <tableStyleElement type="firstRowStripe" dxfId="279"/>
      <tableStyleElement type="secondRowStripe" dxfId="278"/>
    </tableStyle>
    <tableStyle name="2 junio-style 15" pivot="0" count="2" xr9:uid="{00000000-0011-0000-FFFF-FFFF1B000000}">
      <tableStyleElement type="firstRowStripe" dxfId="277"/>
      <tableStyleElement type="secondRowStripe" dxfId="276"/>
    </tableStyle>
    <tableStyle name="2 junio-style 16" pivot="0" count="2" xr9:uid="{00000000-0011-0000-FFFF-FFFF1C000000}">
      <tableStyleElement type="firstRowStripe" dxfId="275"/>
      <tableStyleElement type="secondRowStripe" dxfId="274"/>
    </tableStyle>
    <tableStyle name="2 junio-style 17" pivot="0" count="2" xr9:uid="{00000000-0011-0000-FFFF-FFFF1D000000}">
      <tableStyleElement type="firstRowStripe" dxfId="273"/>
      <tableStyleElement type="secondRowStripe" dxfId="272"/>
    </tableStyle>
    <tableStyle name="2 junio-style 18" pivot="0" count="2" xr9:uid="{00000000-0011-0000-FFFF-FFFF1E000000}">
      <tableStyleElement type="firstRowStripe" dxfId="271"/>
      <tableStyleElement type="secondRowStripe" dxfId="270"/>
    </tableStyle>
    <tableStyle name="2 junio-style 19" pivot="0" count="2" xr9:uid="{00000000-0011-0000-FFFF-FFFF1F000000}">
      <tableStyleElement type="firstRowStripe" dxfId="269"/>
      <tableStyleElement type="secondRowStripe" dxfId="268"/>
    </tableStyle>
    <tableStyle name="2 junio-style 20" pivot="0" count="2" xr9:uid="{00000000-0011-0000-FFFF-FFFF20000000}">
      <tableStyleElement type="firstRowStripe" dxfId="267"/>
      <tableStyleElement type="secondRowStripe" dxfId="266"/>
    </tableStyle>
    <tableStyle name="2 junio-style 21" pivot="0" count="2" xr9:uid="{00000000-0011-0000-FFFF-FFFF21000000}">
      <tableStyleElement type="firstRowStripe" dxfId="265"/>
      <tableStyleElement type="secondRowStripe" dxfId="264"/>
    </tableStyle>
    <tableStyle name="2 junio-style 22" pivot="0" count="2" xr9:uid="{00000000-0011-0000-FFFF-FFFF22000000}">
      <tableStyleElement type="firstRowStripe" dxfId="263"/>
      <tableStyleElement type="secondRowStripe" dxfId="262"/>
    </tableStyle>
    <tableStyle name="2 junio-style 23" pivot="0" count="2" xr9:uid="{00000000-0011-0000-FFFF-FFFF23000000}">
      <tableStyleElement type="firstRowStripe" dxfId="261"/>
      <tableStyleElement type="secondRowStripe" dxfId="260"/>
    </tableStyle>
    <tableStyle name="2 junio-style 24" pivot="0" count="2" xr9:uid="{00000000-0011-0000-FFFF-FFFF24000000}">
      <tableStyleElement type="firstRowStripe" dxfId="259"/>
      <tableStyleElement type="secondRowStripe" dxfId="258"/>
    </tableStyle>
    <tableStyle name="2 junio-style 25" pivot="0" count="2" xr9:uid="{00000000-0011-0000-FFFF-FFFF25000000}">
      <tableStyleElement type="firstRowStripe" dxfId="257"/>
      <tableStyleElement type="secondRowStripe" dxfId="256"/>
    </tableStyle>
    <tableStyle name="2 junio-style 26" pivot="0" count="2" xr9:uid="{00000000-0011-0000-FFFF-FFFF26000000}">
      <tableStyleElement type="firstRowStripe" dxfId="255"/>
      <tableStyleElement type="secondRowStripe" dxfId="254"/>
    </tableStyle>
    <tableStyle name="2 junio-style 27" pivot="0" count="2" xr9:uid="{00000000-0011-0000-FFFF-FFFF27000000}">
      <tableStyleElement type="firstRowStripe" dxfId="253"/>
      <tableStyleElement type="secondRowStripe" dxfId="252"/>
    </tableStyle>
    <tableStyle name="2 junio-style 28" pivot="0" count="2" xr9:uid="{00000000-0011-0000-FFFF-FFFF28000000}">
      <tableStyleElement type="firstRowStripe" dxfId="251"/>
      <tableStyleElement type="secondRowStripe" dxfId="250"/>
    </tableStyle>
    <tableStyle name="2 junio-style 29" pivot="0" count="2" xr9:uid="{00000000-0011-0000-FFFF-FFFF29000000}">
      <tableStyleElement type="firstRowStripe" dxfId="249"/>
      <tableStyleElement type="secondRowStripe" dxfId="248"/>
    </tableStyle>
    <tableStyle name="2 junio-style 30" pivot="0" count="2" xr9:uid="{00000000-0011-0000-FFFF-FFFF2A000000}">
      <tableStyleElement type="firstRowStripe" dxfId="247"/>
      <tableStyleElement type="secondRowStripe" dxfId="246"/>
    </tableStyle>
    <tableStyle name="2 junio-style 31" pivot="0" count="2" xr9:uid="{00000000-0011-0000-FFFF-FFFF2B000000}">
      <tableStyleElement type="firstRowStripe" dxfId="245"/>
      <tableStyleElement type="secondRowStripe" dxfId="244"/>
    </tableStyle>
    <tableStyle name="2 junio-style 32" pivot="0" count="2" xr9:uid="{00000000-0011-0000-FFFF-FFFF2C000000}">
      <tableStyleElement type="firstRowStripe" dxfId="243"/>
      <tableStyleElement type="secondRowStripe" dxfId="242"/>
    </tableStyle>
    <tableStyle name="2 junio-style 33" pivot="0" count="2" xr9:uid="{00000000-0011-0000-FFFF-FFFF2D000000}">
      <tableStyleElement type="firstRowStripe" dxfId="241"/>
      <tableStyleElement type="secondRowStripe" dxfId="240"/>
    </tableStyle>
    <tableStyle name="2 junio-style 34" pivot="0" count="2" xr9:uid="{00000000-0011-0000-FFFF-FFFF2E000000}">
      <tableStyleElement type="firstRowStripe" dxfId="239"/>
      <tableStyleElement type="secondRowStripe" dxfId="238"/>
    </tableStyle>
    <tableStyle name="2 junio-style 35" pivot="0" count="2" xr9:uid="{00000000-0011-0000-FFFF-FFFF2F000000}">
      <tableStyleElement type="firstRowStripe" dxfId="237"/>
      <tableStyleElement type="secondRowStripe" dxfId="236"/>
    </tableStyle>
    <tableStyle name="2 junio-style 36" pivot="0" count="2" xr9:uid="{00000000-0011-0000-FFFF-FFFF30000000}">
      <tableStyleElement type="firstRowStripe" dxfId="235"/>
      <tableStyleElement type="secondRowStripe" dxfId="234"/>
    </tableStyle>
    <tableStyle name="2 junio-style 37" pivot="0" count="2" xr9:uid="{00000000-0011-0000-FFFF-FFFF31000000}">
      <tableStyleElement type="firstRowStripe" dxfId="233"/>
      <tableStyleElement type="secondRowStripe" dxfId="232"/>
    </tableStyle>
    <tableStyle name="2 junio-style 38" pivot="0" count="2" xr9:uid="{00000000-0011-0000-FFFF-FFFF32000000}">
      <tableStyleElement type="firstRowStripe" dxfId="231"/>
      <tableStyleElement type="secondRowStripe" dxfId="230"/>
    </tableStyle>
    <tableStyle name="2 junio-style 39" pivot="0" count="2" xr9:uid="{00000000-0011-0000-FFFF-FFFF33000000}">
      <tableStyleElement type="firstRowStripe" dxfId="229"/>
      <tableStyleElement type="secondRowStripe" dxfId="228"/>
    </tableStyle>
    <tableStyle name="2 junio-style 40" pivot="0" count="2" xr9:uid="{00000000-0011-0000-FFFF-FFFF34000000}">
      <tableStyleElement type="firstRowStripe" dxfId="227"/>
      <tableStyleElement type="secondRowStripe" dxfId="226"/>
    </tableStyle>
    <tableStyle name="2 junio-style 41" pivot="0" count="2" xr9:uid="{00000000-0011-0000-FFFF-FFFF35000000}">
      <tableStyleElement type="firstRowStripe" dxfId="225"/>
      <tableStyleElement type="secondRowStripe" dxfId="224"/>
    </tableStyle>
    <tableStyle name="2 junio-style 42" pivot="0" count="2" xr9:uid="{00000000-0011-0000-FFFF-FFFF36000000}">
      <tableStyleElement type="firstRowStripe" dxfId="223"/>
      <tableStyleElement type="secondRowStripe" dxfId="222"/>
    </tableStyle>
    <tableStyle name="2 junio-style 43" pivot="0" count="2" xr9:uid="{00000000-0011-0000-FFFF-FFFF37000000}">
      <tableStyleElement type="firstRowStripe" dxfId="221"/>
      <tableStyleElement type="secondRowStripe" dxfId="220"/>
    </tableStyle>
    <tableStyle name="2 junio-style 44" pivot="0" count="2" xr9:uid="{00000000-0011-0000-FFFF-FFFF38000000}">
      <tableStyleElement type="firstRowStripe" dxfId="219"/>
      <tableStyleElement type="secondRowStripe" dxfId="218"/>
    </tableStyle>
    <tableStyle name="2 junio-style 45" pivot="0" count="2" xr9:uid="{00000000-0011-0000-FFFF-FFFF39000000}">
      <tableStyleElement type="firstRowStripe" dxfId="217"/>
      <tableStyleElement type="secondRowStripe" dxfId="216"/>
    </tableStyle>
    <tableStyle name="2 junio-style 46" pivot="0" count="2" xr9:uid="{00000000-0011-0000-FFFF-FFFF3A000000}">
      <tableStyleElement type="firstRowStripe" dxfId="215"/>
      <tableStyleElement type="secondRowStripe" dxfId="214"/>
    </tableStyle>
    <tableStyle name="2 junio-style 47" pivot="0" count="2" xr9:uid="{00000000-0011-0000-FFFF-FFFF3B000000}">
      <tableStyleElement type="firstRowStripe" dxfId="213"/>
      <tableStyleElement type="secondRowStripe" dxfId="212"/>
    </tableStyle>
    <tableStyle name="2 junio-style 48" pivot="0" count="2" xr9:uid="{00000000-0011-0000-FFFF-FFFF3C000000}">
      <tableStyleElement type="firstRowStripe" dxfId="211"/>
      <tableStyleElement type="secondRowStripe" dxfId="210"/>
    </tableStyle>
    <tableStyle name="2 junio-style 49" pivot="0" count="2" xr9:uid="{00000000-0011-0000-FFFF-FFFF3D000000}">
      <tableStyleElement type="firstRowStripe" dxfId="209"/>
      <tableStyleElement type="secondRowStripe" dxfId="208"/>
    </tableStyle>
    <tableStyle name="2 junio-style 50" pivot="0" count="2" xr9:uid="{00000000-0011-0000-FFFF-FFFF3E000000}">
      <tableStyleElement type="firstRowStripe" dxfId="207"/>
      <tableStyleElement type="secondRowStripe" dxfId="206"/>
    </tableStyle>
    <tableStyle name="2 junio-style 51" pivot="0" count="2" xr9:uid="{00000000-0011-0000-FFFF-FFFF3F000000}">
      <tableStyleElement type="firstRowStripe" dxfId="205"/>
      <tableStyleElement type="secondRowStripe" dxfId="204"/>
    </tableStyle>
    <tableStyle name="2 junio-style 52" pivot="0" count="2" xr9:uid="{00000000-0011-0000-FFFF-FFFF40000000}">
      <tableStyleElement type="firstRowStripe" dxfId="203"/>
      <tableStyleElement type="secondRowStripe" dxfId="202"/>
    </tableStyle>
    <tableStyle name="2 junio-style 53" pivot="0" count="2" xr9:uid="{00000000-0011-0000-FFFF-FFFF41000000}">
      <tableStyleElement type="firstRowStripe" dxfId="201"/>
      <tableStyleElement type="secondRowStripe" dxfId="200"/>
    </tableStyle>
    <tableStyle name="2 junio-style 54" pivot="0" count="2" xr9:uid="{00000000-0011-0000-FFFF-FFFF42000000}">
      <tableStyleElement type="firstRowStripe" dxfId="199"/>
      <tableStyleElement type="secondRowStripe" dxfId="198"/>
    </tableStyle>
    <tableStyle name="2 junio-style 55" pivot="0" count="2" xr9:uid="{00000000-0011-0000-FFFF-FFFF43000000}">
      <tableStyleElement type="firstRowStripe" dxfId="197"/>
      <tableStyleElement type="secondRowStripe" dxfId="196"/>
    </tableStyle>
    <tableStyle name="2 junio-style 56" pivot="0" count="2" xr9:uid="{00000000-0011-0000-FFFF-FFFF44000000}">
      <tableStyleElement type="firstRowStripe" dxfId="195"/>
      <tableStyleElement type="secondRowStripe" dxfId="194"/>
    </tableStyle>
    <tableStyle name="2 junio-style 57" pivot="0" count="2" xr9:uid="{00000000-0011-0000-FFFF-FFFF45000000}">
      <tableStyleElement type="firstRowStripe" dxfId="193"/>
      <tableStyleElement type="secondRowStripe" dxfId="192"/>
    </tableStyle>
    <tableStyle name="2 junio-style 58" pivot="0" count="2" xr9:uid="{00000000-0011-0000-FFFF-FFFF46000000}">
      <tableStyleElement type="firstRowStripe" dxfId="191"/>
      <tableStyleElement type="secondRowStripe" dxfId="190"/>
    </tableStyle>
    <tableStyle name="2 junio-style 59" pivot="0" count="2" xr9:uid="{00000000-0011-0000-FFFF-FFFF47000000}">
      <tableStyleElement type="firstRowStripe" dxfId="189"/>
      <tableStyleElement type="secondRowStripe" dxfId="188"/>
    </tableStyle>
    <tableStyle name="2 junio-style 60" pivot="0" count="2" xr9:uid="{00000000-0011-0000-FFFF-FFFF48000000}">
      <tableStyleElement type="firstRowStripe" dxfId="187"/>
      <tableStyleElement type="secondRowStripe" dxfId="186"/>
    </tableStyle>
    <tableStyle name="2 junio-style 61" pivot="0" count="2" xr9:uid="{00000000-0011-0000-FFFF-FFFF49000000}">
      <tableStyleElement type="firstRowStripe" dxfId="185"/>
      <tableStyleElement type="secondRowStripe" dxfId="184"/>
    </tableStyle>
    <tableStyle name="2 junio-style 62" pivot="0" count="2" xr9:uid="{00000000-0011-0000-FFFF-FFFF4A000000}">
      <tableStyleElement type="firstRowStripe" dxfId="183"/>
      <tableStyleElement type="secondRowStripe" dxfId="182"/>
    </tableStyle>
    <tableStyle name="2 junio-style 63" pivot="0" count="2" xr9:uid="{00000000-0011-0000-FFFF-FFFF4B000000}">
      <tableStyleElement type="firstRowStripe" dxfId="181"/>
      <tableStyleElement type="secondRowStripe" dxfId="180"/>
    </tableStyle>
    <tableStyle name="2 junio-style 64" pivot="0" count="2" xr9:uid="{00000000-0011-0000-FFFF-FFFF4C000000}">
      <tableStyleElement type="firstRowStripe" dxfId="179"/>
      <tableStyleElement type="secondRowStripe" dxfId="178"/>
    </tableStyle>
    <tableStyle name="2 junio-style 65" pivot="0" count="2" xr9:uid="{00000000-0011-0000-FFFF-FFFF4D000000}">
      <tableStyleElement type="firstRowStripe" dxfId="177"/>
      <tableStyleElement type="secondRowStripe" dxfId="176"/>
    </tableStyle>
    <tableStyle name="2 junio-style 66" pivot="0" count="2" xr9:uid="{00000000-0011-0000-FFFF-FFFF4E000000}">
      <tableStyleElement type="firstRowStripe" dxfId="175"/>
      <tableStyleElement type="secondRowStripe" dxfId="174"/>
    </tableStyle>
    <tableStyle name="2 junio-style 67" pivot="0" count="2" xr9:uid="{00000000-0011-0000-FFFF-FFFF4F000000}">
      <tableStyleElement type="firstRowStripe" dxfId="173"/>
      <tableStyleElement type="secondRowStripe" dxfId="172"/>
    </tableStyle>
    <tableStyle name="2 junio-style 68" pivot="0" count="2" xr9:uid="{00000000-0011-0000-FFFF-FFFF50000000}">
      <tableStyleElement type="firstRowStripe" dxfId="171"/>
      <tableStyleElement type="secondRowStripe" dxfId="170"/>
    </tableStyle>
    <tableStyle name="3 junio-style" pivot="0" count="2" xr9:uid="{00000000-0011-0000-FFFF-FFFF51000000}">
      <tableStyleElement type="firstRowStripe" dxfId="169"/>
      <tableStyleElement type="secondRowStripe" dxfId="168"/>
    </tableStyle>
    <tableStyle name="3 junio-style 2" pivot="0" count="2" xr9:uid="{00000000-0011-0000-FFFF-FFFF52000000}">
      <tableStyleElement type="firstRowStripe" dxfId="167"/>
      <tableStyleElement type="secondRowStripe" dxfId="166"/>
    </tableStyle>
    <tableStyle name="3 junio-style 3" pivot="0" count="2" xr9:uid="{00000000-0011-0000-FFFF-FFFF53000000}">
      <tableStyleElement type="firstRowStripe" dxfId="165"/>
      <tableStyleElement type="secondRowStripe" dxfId="164"/>
    </tableStyle>
    <tableStyle name="3 junio-style 4" pivot="0" count="2" xr9:uid="{00000000-0011-0000-FFFF-FFFF54000000}">
      <tableStyleElement type="firstRowStripe" dxfId="163"/>
      <tableStyleElement type="secondRowStripe" dxfId="162"/>
    </tableStyle>
    <tableStyle name="3 junio-style 5" pivot="0" count="2" xr9:uid="{00000000-0011-0000-FFFF-FFFF55000000}">
      <tableStyleElement type="firstRowStripe" dxfId="161"/>
      <tableStyleElement type="secondRowStripe" dxfId="160"/>
    </tableStyle>
    <tableStyle name="3 junio-style 6" pivot="0" count="2" xr9:uid="{00000000-0011-0000-FFFF-FFFF56000000}">
      <tableStyleElement type="firstRowStripe" dxfId="159"/>
      <tableStyleElement type="secondRowStripe" dxfId="158"/>
    </tableStyle>
    <tableStyle name="3 junio-style 7" pivot="0" count="2" xr9:uid="{00000000-0011-0000-FFFF-FFFF57000000}">
      <tableStyleElement type="firstRowStripe" dxfId="157"/>
      <tableStyleElement type="secondRowStripe" dxfId="156"/>
    </tableStyle>
    <tableStyle name="3 junio-style 8" pivot="0" count="2" xr9:uid="{00000000-0011-0000-FFFF-FFFF58000000}">
      <tableStyleElement type="firstRowStripe" dxfId="155"/>
      <tableStyleElement type="secondRowStripe" dxfId="154"/>
    </tableStyle>
    <tableStyle name="3 junio-style 9" pivot="0" count="2" xr9:uid="{00000000-0011-0000-FFFF-FFFF59000000}">
      <tableStyleElement type="firstRowStripe" dxfId="153"/>
      <tableStyleElement type="secondRowStripe" dxfId="152"/>
    </tableStyle>
    <tableStyle name="3 junio-style 10" pivot="0" count="2" xr9:uid="{00000000-0011-0000-FFFF-FFFF5A000000}">
      <tableStyleElement type="firstRowStripe" dxfId="151"/>
      <tableStyleElement type="secondRowStripe" dxfId="150"/>
    </tableStyle>
    <tableStyle name="3 junio-style 11" pivot="0" count="2" xr9:uid="{00000000-0011-0000-FFFF-FFFF5B000000}">
      <tableStyleElement type="firstRowStripe" dxfId="149"/>
      <tableStyleElement type="secondRowStripe" dxfId="148"/>
    </tableStyle>
    <tableStyle name="3 junio-style 12" pivot="0" count="2" xr9:uid="{00000000-0011-0000-FFFF-FFFF5C000000}">
      <tableStyleElement type="firstRowStripe" dxfId="147"/>
      <tableStyleElement type="secondRowStripe" dxfId="146"/>
    </tableStyle>
    <tableStyle name="3 junio-style 13" pivot="0" count="2" xr9:uid="{00000000-0011-0000-FFFF-FFFF5D000000}">
      <tableStyleElement type="firstRowStripe" dxfId="145"/>
      <tableStyleElement type="secondRowStripe" dxfId="144"/>
    </tableStyle>
    <tableStyle name="3 junio-style 14" pivot="0" count="2" xr9:uid="{00000000-0011-0000-FFFF-FFFF5E000000}">
      <tableStyleElement type="firstRowStripe" dxfId="143"/>
      <tableStyleElement type="secondRowStripe" dxfId="142"/>
    </tableStyle>
    <tableStyle name="3 junio-style 15" pivot="0" count="2" xr9:uid="{00000000-0011-0000-FFFF-FFFF5F000000}">
      <tableStyleElement type="firstRowStripe" dxfId="141"/>
      <tableStyleElement type="secondRowStripe" dxfId="140"/>
    </tableStyle>
    <tableStyle name="3 junio-style 16" pivot="0" count="2" xr9:uid="{00000000-0011-0000-FFFF-FFFF60000000}">
      <tableStyleElement type="firstRowStripe" dxfId="139"/>
      <tableStyleElement type="secondRowStripe" dxfId="138"/>
    </tableStyle>
    <tableStyle name="3 junio-style 17" pivot="0" count="2" xr9:uid="{00000000-0011-0000-FFFF-FFFF61000000}">
      <tableStyleElement type="firstRowStripe" dxfId="137"/>
      <tableStyleElement type="secondRowStripe" dxfId="136"/>
    </tableStyle>
    <tableStyle name="3 junio-style 18" pivot="0" count="2" xr9:uid="{00000000-0011-0000-FFFF-FFFF62000000}">
      <tableStyleElement type="firstRowStripe" dxfId="135"/>
      <tableStyleElement type="secondRowStripe" dxfId="134"/>
    </tableStyle>
    <tableStyle name="3 junio-style 19" pivot="0" count="2" xr9:uid="{00000000-0011-0000-FFFF-FFFF63000000}">
      <tableStyleElement type="firstRowStripe" dxfId="133"/>
      <tableStyleElement type="secondRowStripe" dxfId="132"/>
    </tableStyle>
    <tableStyle name="3 junio-style 20" pivot="0" count="2" xr9:uid="{00000000-0011-0000-FFFF-FFFF64000000}">
      <tableStyleElement type="firstRowStripe" dxfId="131"/>
      <tableStyleElement type="secondRowStripe" dxfId="130"/>
    </tableStyle>
    <tableStyle name="3 junio-style 21" pivot="0" count="2" xr9:uid="{00000000-0011-0000-FFFF-FFFF65000000}">
      <tableStyleElement type="firstRowStripe" dxfId="129"/>
      <tableStyleElement type="secondRowStripe" dxfId="128"/>
    </tableStyle>
    <tableStyle name="3 junio-style 22" pivot="0" count="2" xr9:uid="{00000000-0011-0000-FFFF-FFFF66000000}">
      <tableStyleElement type="firstRowStripe" dxfId="127"/>
      <tableStyleElement type="secondRowStripe" dxfId="126"/>
    </tableStyle>
    <tableStyle name="3 junio-style 23" pivot="0" count="2" xr9:uid="{00000000-0011-0000-FFFF-FFFF67000000}">
      <tableStyleElement type="firstRowStripe" dxfId="125"/>
      <tableStyleElement type="secondRowStripe" dxfId="124"/>
    </tableStyle>
    <tableStyle name="3 junio-style 24" pivot="0" count="2" xr9:uid="{00000000-0011-0000-FFFF-FFFF68000000}">
      <tableStyleElement type="firstRowStripe" dxfId="123"/>
      <tableStyleElement type="secondRowStripe" dxfId="122"/>
    </tableStyle>
    <tableStyle name="3 junio-style 25" pivot="0" count="2" xr9:uid="{00000000-0011-0000-FFFF-FFFF69000000}">
      <tableStyleElement type="firstRowStripe" dxfId="121"/>
      <tableStyleElement type="secondRowStripe" dxfId="120"/>
    </tableStyle>
    <tableStyle name="3 junio-style 26" pivot="0" count="2" xr9:uid="{00000000-0011-0000-FFFF-FFFF6A000000}">
      <tableStyleElement type="firstRowStripe" dxfId="119"/>
      <tableStyleElement type="secondRowStripe" dxfId="118"/>
    </tableStyle>
    <tableStyle name="3 junio-style 27" pivot="0" count="2" xr9:uid="{00000000-0011-0000-FFFF-FFFF6B000000}">
      <tableStyleElement type="firstRowStripe" dxfId="117"/>
      <tableStyleElement type="secondRowStripe" dxfId="116"/>
    </tableStyle>
    <tableStyle name="3 junio-style 28" pivot="0" count="2" xr9:uid="{00000000-0011-0000-FFFF-FFFF6C000000}">
      <tableStyleElement type="firstRowStripe" dxfId="115"/>
      <tableStyleElement type="secondRowStripe" dxfId="114"/>
    </tableStyle>
    <tableStyle name="3 junio-style 29" pivot="0" count="2" xr9:uid="{00000000-0011-0000-FFFF-FFFF6D000000}">
      <tableStyleElement type="firstRowStripe" dxfId="113"/>
      <tableStyleElement type="secondRowStripe" dxfId="112"/>
    </tableStyle>
    <tableStyle name="3 junio-style 30" pivot="0" count="2" xr9:uid="{00000000-0011-0000-FFFF-FFFF6E000000}">
      <tableStyleElement type="firstRowStripe" dxfId="111"/>
      <tableStyleElement type="secondRowStripe" dxfId="110"/>
    </tableStyle>
    <tableStyle name="3 junio-style 31" pivot="0" count="2" xr9:uid="{00000000-0011-0000-FFFF-FFFF6F000000}">
      <tableStyleElement type="firstRowStripe" dxfId="109"/>
      <tableStyleElement type="secondRowStripe" dxfId="108"/>
    </tableStyle>
    <tableStyle name="3 junio-style 32" pivot="0" count="2" xr9:uid="{00000000-0011-0000-FFFF-FFFF70000000}">
      <tableStyleElement type="firstRowStripe" dxfId="107"/>
      <tableStyleElement type="secondRowStripe" dxfId="106"/>
    </tableStyle>
    <tableStyle name="3 junio-style 33" pivot="0" count="2" xr9:uid="{00000000-0011-0000-FFFF-FFFF71000000}">
      <tableStyleElement type="firstRowStripe" dxfId="105"/>
      <tableStyleElement type="secondRowStripe" dxfId="104"/>
    </tableStyle>
    <tableStyle name="3 junio-style 34" pivot="0" count="2" xr9:uid="{00000000-0011-0000-FFFF-FFFF72000000}">
      <tableStyleElement type="firstRowStripe" dxfId="103"/>
      <tableStyleElement type="secondRowStripe" dxfId="102"/>
    </tableStyle>
    <tableStyle name="3 junio-style 35" pivot="0" count="2" xr9:uid="{00000000-0011-0000-FFFF-FFFF73000000}">
      <tableStyleElement type="firstRowStripe" dxfId="101"/>
      <tableStyleElement type="secondRowStripe" dxfId="100"/>
    </tableStyle>
    <tableStyle name="3 junio-style 36" pivot="0" count="2" xr9:uid="{00000000-0011-0000-FFFF-FFFF74000000}">
      <tableStyleElement type="firstRowStripe" dxfId="99"/>
      <tableStyleElement type="secondRowStripe" dxfId="98"/>
    </tableStyle>
    <tableStyle name="3 junio-style 37" pivot="0" count="2" xr9:uid="{00000000-0011-0000-FFFF-FFFF75000000}">
      <tableStyleElement type="firstRowStripe" dxfId="97"/>
      <tableStyleElement type="secondRowStripe" dxfId="96"/>
    </tableStyle>
    <tableStyle name="3 junio-style 38" pivot="0" count="2" xr9:uid="{00000000-0011-0000-FFFF-FFFF76000000}">
      <tableStyleElement type="firstRowStripe" dxfId="95"/>
      <tableStyleElement type="secondRowStripe" dxfId="94"/>
    </tableStyle>
    <tableStyle name="3 junio-style 39" pivot="0" count="2" xr9:uid="{00000000-0011-0000-FFFF-FFFF77000000}">
      <tableStyleElement type="firstRowStripe" dxfId="93"/>
      <tableStyleElement type="secondRowStripe" dxfId="92"/>
    </tableStyle>
    <tableStyle name="3 junio-style 40" pivot="0" count="2" xr9:uid="{00000000-0011-0000-FFFF-FFFF78000000}">
      <tableStyleElement type="firstRowStripe" dxfId="91"/>
      <tableStyleElement type="secondRowStripe" dxfId="90"/>
    </tableStyle>
    <tableStyle name="3 junio-style 41" pivot="0" count="2" xr9:uid="{00000000-0011-0000-FFFF-FFFF79000000}">
      <tableStyleElement type="firstRowStripe" dxfId="89"/>
      <tableStyleElement type="secondRowStripe" dxfId="88"/>
    </tableStyle>
    <tableStyle name="3 junio-style 42" pivot="0" count="2" xr9:uid="{00000000-0011-0000-FFFF-FFFF7A000000}">
      <tableStyleElement type="firstRowStripe" dxfId="87"/>
      <tableStyleElement type="secondRowStripe" dxfId="86"/>
    </tableStyle>
    <tableStyle name="3 junio-style 43" pivot="0" count="2" xr9:uid="{00000000-0011-0000-FFFF-FFFF7B000000}">
      <tableStyleElement type="firstRowStripe" dxfId="85"/>
      <tableStyleElement type="secondRowStripe" dxfId="84"/>
    </tableStyle>
    <tableStyle name="3 junio-style 44" pivot="0" count="2" xr9:uid="{00000000-0011-0000-FFFF-FFFF7C000000}">
      <tableStyleElement type="firstRowStripe" dxfId="83"/>
      <tableStyleElement type="secondRowStripe" dxfId="82"/>
    </tableStyle>
    <tableStyle name="3 junio-style 45" pivot="0" count="2" xr9:uid="{00000000-0011-0000-FFFF-FFFF7D000000}">
      <tableStyleElement type="firstRowStripe" dxfId="81"/>
      <tableStyleElement type="secondRowStripe" dxfId="80"/>
    </tableStyle>
    <tableStyle name="3 junio-style 46" pivot="0" count="2" xr9:uid="{00000000-0011-0000-FFFF-FFFF7E000000}">
      <tableStyleElement type="firstRowStripe" dxfId="79"/>
      <tableStyleElement type="secondRowStripe" dxfId="78"/>
    </tableStyle>
    <tableStyle name="3 junio-style 47" pivot="0" count="2" xr9:uid="{00000000-0011-0000-FFFF-FFFF7F000000}">
      <tableStyleElement type="firstRowStripe" dxfId="77"/>
      <tableStyleElement type="secondRowStripe" dxfId="76"/>
    </tableStyle>
    <tableStyle name="3 junio-style 48" pivot="0" count="2" xr9:uid="{00000000-0011-0000-FFFF-FFFF80000000}">
      <tableStyleElement type="firstRowStripe" dxfId="75"/>
      <tableStyleElement type="secondRowStripe" dxfId="74"/>
    </tableStyle>
    <tableStyle name="3 junio-style 49" pivot="0" count="2" xr9:uid="{00000000-0011-0000-FFFF-FFFF81000000}">
      <tableStyleElement type="firstRowStripe" dxfId="73"/>
      <tableStyleElement type="secondRowStripe" dxfId="72"/>
    </tableStyle>
    <tableStyle name="3 junio-style 50" pivot="0" count="2" xr9:uid="{00000000-0011-0000-FFFF-FFFF82000000}">
      <tableStyleElement type="firstRowStripe" dxfId="71"/>
      <tableStyleElement type="secondRowStripe" dxfId="70"/>
    </tableStyle>
    <tableStyle name="3 junio-style 51" pivot="0" count="2" xr9:uid="{00000000-0011-0000-FFFF-FFFF83000000}">
      <tableStyleElement type="firstRowStripe" dxfId="69"/>
      <tableStyleElement type="secondRowStripe" dxfId="68"/>
    </tableStyle>
    <tableStyle name="3 junio-style 52" pivot="0" count="2" xr9:uid="{00000000-0011-0000-FFFF-FFFF84000000}">
      <tableStyleElement type="firstRowStripe" dxfId="67"/>
      <tableStyleElement type="secondRowStripe" dxfId="66"/>
    </tableStyle>
    <tableStyle name="3 junio-style 53" pivot="0" count="2" xr9:uid="{00000000-0011-0000-FFFF-FFFF85000000}">
      <tableStyleElement type="firstRowStripe" dxfId="65"/>
      <tableStyleElement type="secondRowStripe" dxfId="64"/>
    </tableStyle>
    <tableStyle name="3 junio-style 54" pivot="0" count="2" xr9:uid="{00000000-0011-0000-FFFF-FFFF86000000}">
      <tableStyleElement type="firstRowStripe" dxfId="63"/>
      <tableStyleElement type="secondRowStripe" dxfId="62"/>
    </tableStyle>
    <tableStyle name="3 junio-style 55" pivot="0" count="2" xr9:uid="{00000000-0011-0000-FFFF-FFFF87000000}">
      <tableStyleElement type="firstRowStripe" dxfId="61"/>
      <tableStyleElement type="secondRowStripe" dxfId="60"/>
    </tableStyle>
    <tableStyle name="3 junio-style 56" pivot="0" count="2" xr9:uid="{00000000-0011-0000-FFFF-FFFF88000000}">
      <tableStyleElement type="firstRowStripe" dxfId="59"/>
      <tableStyleElement type="secondRowStripe" dxfId="58"/>
    </tableStyle>
    <tableStyle name="3 junio-style 57" pivot="0" count="2" xr9:uid="{00000000-0011-0000-FFFF-FFFF89000000}">
      <tableStyleElement type="firstRowStripe" dxfId="57"/>
      <tableStyleElement type="secondRowStripe" dxfId="56"/>
    </tableStyle>
    <tableStyle name="3 junio-style 58" pivot="0" count="2" xr9:uid="{00000000-0011-0000-FFFF-FFFF8A000000}">
      <tableStyleElement type="firstRowStripe" dxfId="55"/>
      <tableStyleElement type="secondRowStripe" dxfId="54"/>
    </tableStyle>
    <tableStyle name="3 junio-style 59" pivot="0" count="2" xr9:uid="{00000000-0011-0000-FFFF-FFFF8B000000}">
      <tableStyleElement type="firstRowStripe" dxfId="53"/>
      <tableStyleElement type="secondRowStripe" dxfId="52"/>
    </tableStyle>
    <tableStyle name="3 junio-style 60" pivot="0" count="2" xr9:uid="{00000000-0011-0000-FFFF-FFFF8C000000}">
      <tableStyleElement type="firstRowStripe" dxfId="51"/>
      <tableStyleElement type="secondRowStripe" dxfId="50"/>
    </tableStyle>
    <tableStyle name="3 junio-style 61" pivot="0" count="2" xr9:uid="{00000000-0011-0000-FFFF-FFFF8D000000}">
      <tableStyleElement type="firstRowStripe" dxfId="49"/>
      <tableStyleElement type="secondRowStripe" dxfId="48"/>
    </tableStyle>
    <tableStyle name="3 junio-style 62" pivot="0" count="2" xr9:uid="{00000000-0011-0000-FFFF-FFFF8E000000}">
      <tableStyleElement type="firstRowStripe" dxfId="47"/>
      <tableStyleElement type="secondRowStripe" dxfId="46"/>
    </tableStyle>
    <tableStyle name="3 junio-style 63" pivot="0" count="2" xr9:uid="{00000000-0011-0000-FFFF-FFFF8F000000}">
      <tableStyleElement type="firstRowStripe" dxfId="45"/>
      <tableStyleElement type="secondRowStripe" dxfId="44"/>
    </tableStyle>
    <tableStyle name="3 junio-style 64" pivot="0" count="2" xr9:uid="{00000000-0011-0000-FFFF-FFFF90000000}">
      <tableStyleElement type="firstRowStripe" dxfId="43"/>
      <tableStyleElement type="secondRowStripe" dxfId="42"/>
    </tableStyle>
    <tableStyle name="3 junio-style 65" pivot="0" count="2" xr9:uid="{00000000-0011-0000-FFFF-FFFF91000000}">
      <tableStyleElement type="firstRowStripe" dxfId="41"/>
      <tableStyleElement type="secondRowStripe" dxfId="40"/>
    </tableStyle>
    <tableStyle name="3 junio-style 66" pivot="0" count="2" xr9:uid="{00000000-0011-0000-FFFF-FFFF92000000}">
      <tableStyleElement type="firstRowStripe" dxfId="39"/>
      <tableStyleElement type="secondRowStripe" dxfId="38"/>
    </tableStyle>
    <tableStyle name="3 junio-style 67" pivot="0" count="2" xr9:uid="{00000000-0011-0000-FFFF-FFFF93000000}">
      <tableStyleElement type="firstRowStripe" dxfId="37"/>
      <tableStyleElement type="secondRowStripe" dxfId="36"/>
    </tableStyle>
    <tableStyle name="3 junio-style 68" pivot="0" count="2" xr9:uid="{00000000-0011-0000-FFFF-FFFF94000000}">
      <tableStyleElement type="firstRowStripe" dxfId="35"/>
      <tableStyleElement type="secondRowStripe" dxfId="34"/>
    </tableStyle>
    <tableStyle name="3 junio-style 69" pivot="0" count="2" xr9:uid="{00000000-0011-0000-FFFF-FFFF95000000}">
      <tableStyleElement type="firstRowStripe" dxfId="33"/>
      <tableStyleElement type="secondRowStripe" dxfId="32"/>
    </tableStyle>
    <tableStyle name="3 junio-style 70" pivot="0" count="2" xr9:uid="{00000000-0011-0000-FFFF-FFFF96000000}">
      <tableStyleElement type="firstRowStripe" dxfId="31"/>
      <tableStyleElement type="secondRowStripe" dxfId="30"/>
    </tableStyle>
    <tableStyle name="3 junio-style 71" pivot="0" count="2" xr9:uid="{00000000-0011-0000-FFFF-FFFF97000000}">
      <tableStyleElement type="firstRowStripe" dxfId="29"/>
      <tableStyleElement type="secondRowStripe" dxfId="28"/>
    </tableStyle>
    <tableStyle name="3 junio-style 72" pivot="0" count="2" xr9:uid="{00000000-0011-0000-FFFF-FFFF98000000}">
      <tableStyleElement type="firstRowStripe" dxfId="27"/>
      <tableStyleElement type="secondRowStripe" dxfId="26"/>
    </tableStyle>
    <tableStyle name="3 junio-style 73" pivot="0" count="2" xr9:uid="{00000000-0011-0000-FFFF-FFFF99000000}">
      <tableStyleElement type="firstRowStripe" dxfId="25"/>
      <tableStyleElement type="secondRowStripe" dxfId="24"/>
    </tableStyle>
    <tableStyle name="3 junio-style 74" pivot="0" count="2" xr9:uid="{00000000-0011-0000-FFFF-FFFF9A000000}">
      <tableStyleElement type="firstRowStripe" dxfId="23"/>
      <tableStyleElement type="secondRowStripe" dxfId="22"/>
    </tableStyle>
    <tableStyle name="3 junio-style 75" pivot="0" count="2" xr9:uid="{00000000-0011-0000-FFFF-FFFF9B000000}">
      <tableStyleElement type="firstRowStripe" dxfId="21"/>
      <tableStyleElement type="secondRowStripe" dxfId="20"/>
    </tableStyle>
    <tableStyle name="3 junio-style 76" pivot="0" count="2" xr9:uid="{00000000-0011-0000-FFFF-FFFF9C000000}">
      <tableStyleElement type="firstRowStripe" dxfId="19"/>
      <tableStyleElement type="secondRowStripe" dxfId="18"/>
    </tableStyle>
    <tableStyle name="3 junio-style 77" pivot="0" count="2" xr9:uid="{00000000-0011-0000-FFFF-FFFF9D000000}">
      <tableStyleElement type="firstRowStripe" dxfId="17"/>
      <tableStyleElement type="secondRowStripe" dxfId="16"/>
    </tableStyle>
    <tableStyle name="3 junio-style 78" pivot="0" count="2" xr9:uid="{00000000-0011-0000-FFFF-FFFF9E000000}">
      <tableStyleElement type="firstRowStripe" dxfId="15"/>
      <tableStyleElement type="secondRowStripe" dxfId="14"/>
    </tableStyle>
    <tableStyle name="3 junio-style 79" pivot="0" count="2" xr9:uid="{00000000-0011-0000-FFFF-FFFF9F000000}">
      <tableStyleElement type="firstRowStripe" dxfId="13"/>
      <tableStyleElement type="secondRowStripe" dxfId="12"/>
    </tableStyle>
    <tableStyle name="3 junio-style 80" pivot="0" count="2" xr9:uid="{00000000-0011-0000-FFFF-FFFFA0000000}">
      <tableStyleElement type="firstRowStripe" dxfId="11"/>
      <tableStyleElement type="secondRowStripe" dxfId="10"/>
    </tableStyle>
    <tableStyle name="3 junio-style 81" pivot="0" count="2" xr9:uid="{00000000-0011-0000-FFFF-FFFFA1000000}">
      <tableStyleElement type="firstRowStripe" dxfId="9"/>
      <tableStyleElement type="secondRowStripe" dxfId="8"/>
    </tableStyle>
    <tableStyle name="3 junio-style 82" pivot="0" count="2" xr9:uid="{00000000-0011-0000-FFFF-FFFFA2000000}">
      <tableStyleElement type="firstRowStripe" dxfId="7"/>
      <tableStyleElement type="secondRowStripe" dxfId="6"/>
    </tableStyle>
    <tableStyle name="3 junio-style 83" pivot="0" count="2" xr9:uid="{00000000-0011-0000-FFFF-FFFFA3000000}">
      <tableStyleElement type="firstRowStripe" dxfId="5"/>
      <tableStyleElement type="secondRowStripe" dxfId="4"/>
    </tableStyle>
    <tableStyle name="3 junio-style 84" pivot="0" count="2" xr9:uid="{00000000-0011-0000-FFFF-FFFFA4000000}">
      <tableStyleElement type="firstRowStripe" dxfId="3"/>
      <tableStyleElement type="secondRowStripe" dxfId="2"/>
    </tableStyle>
    <tableStyle name="3 junio-style 85" pivot="0" count="2" xr9:uid="{00000000-0011-0000-FFFF-FFFFA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ombia%20Radi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ombia Radio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Q19:W19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1 juni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Q29:W29" headerRowCount="0">
  <tableColumns count="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</tableColumns>
  <tableStyleInfo name="1 junio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Q49:W49" headerRowCount="0">
  <tableColumns count="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</tableColumns>
  <tableStyleInfo name="1 junio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Q53:W53" headerRowCount="0">
  <tableColumns count="7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</tableColumns>
  <tableStyleInfo name="1 junio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Q76:W76" headerRowCount="0">
  <tableColumns count="7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</tableColumns>
  <tableStyleInfo name="1 junio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Q79:W79" headerRowCount="0">
  <tableColumns count="7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</tableColumns>
  <tableStyleInfo name="1 junio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Q84:W84" headerRowCount="0">
  <tableColumns count="7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</tableColumns>
  <tableStyleInfo name="1 junio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Q86:W86" headerRowCount="0">
  <tableColumns count="7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</tableColumns>
  <tableStyleInfo name="1 junio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Q87:W87" headerRowCount="0">
  <tableColumns count="7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</tableColumns>
  <tableStyleInfo name="1 junio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Q90:W90" headerRowCount="0">
  <tableColumns count="7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</tableColumns>
  <tableStyleInfo name="1 junio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Q91:W91" headerRowCount="0">
  <tableColumns count="7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</tableColumns>
  <tableStyleInfo name="1 junio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Q96:W96" headerRowCount="0">
  <tableColumns count="7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</tableColumns>
  <tableStyleInfo name="1 junio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Q99:W99" headerRowCount="0">
  <tableColumns count="7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</tableColumns>
  <tableStyleInfo name="1 junio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23:C23" headerRowCount="0">
  <tableColumns count="2">
    <tableColumn id="1" xr3:uid="{00000000-0010-0000-0D00-000001000000}" name="Column1"/>
    <tableColumn id="2" xr3:uid="{00000000-0010-0000-0D00-000002000000}" name="Column2"/>
  </tableColumns>
  <tableStyleInfo name="2 junio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24:C24" headerRowCount="0">
  <tableColumns count="2">
    <tableColumn id="1" xr3:uid="{00000000-0010-0000-0E00-000001000000}" name="Column1"/>
    <tableColumn id="2" xr3:uid="{00000000-0010-0000-0E00-000002000000}" name="Column2"/>
  </tableColumns>
  <tableStyleInfo name="2 junio-style 2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25:C25" headerRowCount="0">
  <tableColumns count="2">
    <tableColumn id="1" xr3:uid="{00000000-0010-0000-0F00-000001000000}" name="Column1"/>
    <tableColumn id="2" xr3:uid="{00000000-0010-0000-0F00-000002000000}" name="Column2"/>
  </tableColumns>
  <tableStyleInfo name="2 junio-style 3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26:C26" headerRowCount="0">
  <tableColumns count="2">
    <tableColumn id="1" xr3:uid="{00000000-0010-0000-1000-000001000000}" name="Column1"/>
    <tableColumn id="2" xr3:uid="{00000000-0010-0000-1000-000002000000}" name="Column2"/>
  </tableColumns>
  <tableStyleInfo name="2 junio-style 4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27:C27" headerRowCount="0">
  <tableColumns count="2">
    <tableColumn id="1" xr3:uid="{00000000-0010-0000-1100-000001000000}" name="Column1"/>
    <tableColumn id="2" xr3:uid="{00000000-0010-0000-1100-000002000000}" name="Column2"/>
  </tableColumns>
  <tableStyleInfo name="2 junio-style 5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28:C28" headerRowCount="0">
  <tableColumns count="2">
    <tableColumn id="1" xr3:uid="{00000000-0010-0000-1200-000001000000}" name="Column1"/>
    <tableColumn id="2" xr3:uid="{00000000-0010-0000-1200-000002000000}" name="Column2"/>
  </tableColumns>
  <tableStyleInfo name="2 junio-style 6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29:C29" headerRowCount="0">
  <tableColumns count="2">
    <tableColumn id="1" xr3:uid="{00000000-0010-0000-1300-000001000000}" name="Column1"/>
    <tableColumn id="2" xr3:uid="{00000000-0010-0000-1300-000002000000}" name="Column2"/>
  </tableColumns>
  <tableStyleInfo name="2 junio-style 7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B30:C30" headerRowCount="0">
  <tableColumns count="2">
    <tableColumn id="1" xr3:uid="{00000000-0010-0000-1400-000001000000}" name="Column1"/>
    <tableColumn id="2" xr3:uid="{00000000-0010-0000-1400-000002000000}" name="Column2"/>
  </tableColumns>
  <tableStyleInfo name="2 junio-style 8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B31:C31" headerRowCount="0">
  <tableColumns count="2">
    <tableColumn id="1" xr3:uid="{00000000-0010-0000-1500-000001000000}" name="Column1"/>
    <tableColumn id="2" xr3:uid="{00000000-0010-0000-1500-000002000000}" name="Column2"/>
  </tableColumns>
  <tableStyleInfo name="2 junio-style 9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B32:C32" headerRowCount="0">
  <tableColumns count="2">
    <tableColumn id="1" xr3:uid="{00000000-0010-0000-1600-000001000000}" name="Column1"/>
    <tableColumn id="2" xr3:uid="{00000000-0010-0000-1600-000002000000}" name="Column2"/>
  </tableColumns>
  <tableStyleInfo name="2 junio-style 10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B34:C34" headerRowCount="0">
  <tableColumns count="2">
    <tableColumn id="1" xr3:uid="{00000000-0010-0000-1700-000001000000}" name="Column1"/>
    <tableColumn id="2" xr3:uid="{00000000-0010-0000-1700-000002000000}" name="Column2"/>
  </tableColumns>
  <tableStyleInfo name="2 junio-style 11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35:C35" headerRowCount="0">
  <tableColumns count="2">
    <tableColumn id="1" xr3:uid="{00000000-0010-0000-1800-000001000000}" name="Column1"/>
    <tableColumn id="2" xr3:uid="{00000000-0010-0000-1800-000002000000}" name="Column2"/>
  </tableColumns>
  <tableStyleInfo name="2 junio-style 12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B36:C36" headerRowCount="0">
  <tableColumns count="2">
    <tableColumn id="1" xr3:uid="{00000000-0010-0000-1900-000001000000}" name="Column1"/>
    <tableColumn id="2" xr3:uid="{00000000-0010-0000-1900-000002000000}" name="Column2"/>
  </tableColumns>
  <tableStyleInfo name="2 junio-style 13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37:C37" headerRowCount="0">
  <tableColumns count="2">
    <tableColumn id="1" xr3:uid="{00000000-0010-0000-1A00-000001000000}" name="Column1"/>
    <tableColumn id="2" xr3:uid="{00000000-0010-0000-1A00-000002000000}" name="Column2"/>
  </tableColumns>
  <tableStyleInfo name="2 junio-style 14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N37:T37" headerRowCount="0">
  <tableColumns count="7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</tableColumns>
  <tableStyleInfo name="2 junio-style 15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B38:C38" headerRowCount="0">
  <tableColumns count="2">
    <tableColumn id="1" xr3:uid="{00000000-0010-0000-1C00-000001000000}" name="Column1"/>
    <tableColumn id="2" xr3:uid="{00000000-0010-0000-1C00-000002000000}" name="Column2"/>
  </tableColumns>
  <tableStyleInfo name="2 junio-style 16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B39:C39" headerRowCount="0">
  <tableColumns count="2">
    <tableColumn id="1" xr3:uid="{00000000-0010-0000-1D00-000001000000}" name="Column1"/>
    <tableColumn id="2" xr3:uid="{00000000-0010-0000-1D00-000002000000}" name="Column2"/>
  </tableColumns>
  <tableStyleInfo name="2 junio-style 17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B40:C40" headerRowCount="0">
  <tableColumns count="2">
    <tableColumn id="1" xr3:uid="{00000000-0010-0000-1E00-000001000000}" name="Column1"/>
    <tableColumn id="2" xr3:uid="{00000000-0010-0000-1E00-000002000000}" name="Column2"/>
  </tableColumns>
  <tableStyleInfo name="2 junio-style 18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41:C41" headerRowCount="0">
  <tableColumns count="2">
    <tableColumn id="1" xr3:uid="{00000000-0010-0000-1F00-000001000000}" name="Column1"/>
    <tableColumn id="2" xr3:uid="{00000000-0010-0000-1F00-000002000000}" name="Column2"/>
  </tableColumns>
  <tableStyleInfo name="2 junio-style 19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B47:C47" headerRowCount="0">
  <tableColumns count="2">
    <tableColumn id="1" xr3:uid="{00000000-0010-0000-2000-000001000000}" name="Column1"/>
    <tableColumn id="2" xr3:uid="{00000000-0010-0000-2000-000002000000}" name="Column2"/>
  </tableColumns>
  <tableStyleInfo name="2 junio-style 20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49:C49" headerRowCount="0">
  <tableColumns count="2">
    <tableColumn id="1" xr3:uid="{00000000-0010-0000-2100-000001000000}" name="Column1"/>
    <tableColumn id="2" xr3:uid="{00000000-0010-0000-2100-000002000000}" name="Column2"/>
  </tableColumns>
  <tableStyleInfo name="2 junio-style 21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B51:C51" headerRowCount="0">
  <tableColumns count="2">
    <tableColumn id="1" xr3:uid="{00000000-0010-0000-2200-000001000000}" name="Column1"/>
    <tableColumn id="2" xr3:uid="{00000000-0010-0000-2200-000002000000}" name="Column2"/>
  </tableColumns>
  <tableStyleInfo name="2 junio-style 22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B52:C52" headerRowCount="0">
  <tableColumns count="2">
    <tableColumn id="1" xr3:uid="{00000000-0010-0000-2300-000001000000}" name="Column1"/>
    <tableColumn id="2" xr3:uid="{00000000-0010-0000-2300-000002000000}" name="Column2"/>
  </tableColumns>
  <tableStyleInfo name="2 junio-style 23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B53:C53" headerRowCount="0">
  <tableColumns count="2">
    <tableColumn id="1" xr3:uid="{00000000-0010-0000-2400-000001000000}" name="Column1"/>
    <tableColumn id="2" xr3:uid="{00000000-0010-0000-2400-000002000000}" name="Column2"/>
  </tableColumns>
  <tableStyleInfo name="2 junio-style 24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B54:C54" headerRowCount="0">
  <tableColumns count="2">
    <tableColumn id="1" xr3:uid="{00000000-0010-0000-2500-000001000000}" name="Column1"/>
    <tableColumn id="2" xr3:uid="{00000000-0010-0000-2500-000002000000}" name="Column2"/>
  </tableColumns>
  <tableStyleInfo name="2 junio-style 25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55:C55" headerRowCount="0">
  <tableColumns count="2">
    <tableColumn id="1" xr3:uid="{00000000-0010-0000-2600-000001000000}" name="Column1"/>
    <tableColumn id="2" xr3:uid="{00000000-0010-0000-2600-000002000000}" name="Column2"/>
  </tableColumns>
  <tableStyleInfo name="2 junio-style 26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B56:C56" headerRowCount="0">
  <tableColumns count="2">
    <tableColumn id="1" xr3:uid="{00000000-0010-0000-2700-000001000000}" name="Column1"/>
    <tableColumn id="2" xr3:uid="{00000000-0010-0000-2700-000002000000}" name="Column2"/>
  </tableColumns>
  <tableStyleInfo name="2 junio-style 27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B57:C57" headerRowCount="0">
  <tableColumns count="2">
    <tableColumn id="1" xr3:uid="{00000000-0010-0000-2800-000001000000}" name="Column1"/>
    <tableColumn id="2" xr3:uid="{00000000-0010-0000-2800-000002000000}" name="Column2"/>
  </tableColumns>
  <tableStyleInfo name="2 junio-style 28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B58:C58" headerRowCount="0">
  <tableColumns count="2">
    <tableColumn id="1" xr3:uid="{00000000-0010-0000-2900-000001000000}" name="Column1"/>
    <tableColumn id="2" xr3:uid="{00000000-0010-0000-2900-000002000000}" name="Column2"/>
  </tableColumns>
  <tableStyleInfo name="2 junio-style 29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B59:C59" headerRowCount="0">
  <tableColumns count="2">
    <tableColumn id="1" xr3:uid="{00000000-0010-0000-2A00-000001000000}" name="Column1"/>
    <tableColumn id="2" xr3:uid="{00000000-0010-0000-2A00-000002000000}" name="Column2"/>
  </tableColumns>
  <tableStyleInfo name="2 junio-style 30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B60:C60" headerRowCount="0">
  <tableColumns count="2">
    <tableColumn id="1" xr3:uid="{00000000-0010-0000-2B00-000001000000}" name="Column1"/>
    <tableColumn id="2" xr3:uid="{00000000-0010-0000-2B00-000002000000}" name="Column2"/>
  </tableColumns>
  <tableStyleInfo name="2 junio-style 31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B61:C61" headerRowCount="0">
  <tableColumns count="2">
    <tableColumn id="1" xr3:uid="{00000000-0010-0000-2C00-000001000000}" name="Column1"/>
    <tableColumn id="2" xr3:uid="{00000000-0010-0000-2C00-000002000000}" name="Column2"/>
  </tableColumns>
  <tableStyleInfo name="2 junio-style 32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62:C62" headerRowCount="0">
  <tableColumns count="2">
    <tableColumn id="1" xr3:uid="{00000000-0010-0000-2D00-000001000000}" name="Column1"/>
    <tableColumn id="2" xr3:uid="{00000000-0010-0000-2D00-000002000000}" name="Column2"/>
  </tableColumns>
  <tableStyleInfo name="2 junio-style 33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B63:C63" headerRowCount="0">
  <tableColumns count="2">
    <tableColumn id="1" xr3:uid="{00000000-0010-0000-2E00-000001000000}" name="Column1"/>
    <tableColumn id="2" xr3:uid="{00000000-0010-0000-2E00-000002000000}" name="Column2"/>
  </tableColumns>
  <tableStyleInfo name="2 junio-style 34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B64:C64" headerRowCount="0">
  <tableColumns count="2">
    <tableColumn id="1" xr3:uid="{00000000-0010-0000-2F00-000001000000}" name="Column1"/>
    <tableColumn id="2" xr3:uid="{00000000-0010-0000-2F00-000002000000}" name="Column2"/>
  </tableColumns>
  <tableStyleInfo name="2 junio-style 35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B65:C65" headerRowCount="0">
  <tableColumns count="2">
    <tableColumn id="1" xr3:uid="{00000000-0010-0000-3000-000001000000}" name="Column1"/>
    <tableColumn id="2" xr3:uid="{00000000-0010-0000-3000-000002000000}" name="Column2"/>
  </tableColumns>
  <tableStyleInfo name="2 junio-style 36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B66:C66" headerRowCount="0">
  <tableColumns count="2">
    <tableColumn id="1" xr3:uid="{00000000-0010-0000-3100-000001000000}" name="Column1"/>
    <tableColumn id="2" xr3:uid="{00000000-0010-0000-3100-000002000000}" name="Column2"/>
  </tableColumns>
  <tableStyleInfo name="2 junio-style 37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B67:C67" headerRowCount="0">
  <tableColumns count="2">
    <tableColumn id="1" xr3:uid="{00000000-0010-0000-3200-000001000000}" name="Column1"/>
    <tableColumn id="2" xr3:uid="{00000000-0010-0000-3200-000002000000}" name="Column2"/>
  </tableColumns>
  <tableStyleInfo name="2 junio-style 38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B68:C68" headerRowCount="0">
  <tableColumns count="2">
    <tableColumn id="1" xr3:uid="{00000000-0010-0000-3300-000001000000}" name="Column1"/>
    <tableColumn id="2" xr3:uid="{00000000-0010-0000-3300-000002000000}" name="Column2"/>
  </tableColumns>
  <tableStyleInfo name="2 junio-style 39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B69:C69" headerRowCount="0">
  <tableColumns count="2">
    <tableColumn id="1" xr3:uid="{00000000-0010-0000-3400-000001000000}" name="Column1"/>
    <tableColumn id="2" xr3:uid="{00000000-0010-0000-3400-000002000000}" name="Column2"/>
  </tableColumns>
  <tableStyleInfo name="2 junio-style 40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B70:C70" headerRowCount="0">
  <tableColumns count="2">
    <tableColumn id="1" xr3:uid="{00000000-0010-0000-3500-000001000000}" name="Column1"/>
    <tableColumn id="2" xr3:uid="{00000000-0010-0000-3500-000002000000}" name="Column2"/>
  </tableColumns>
  <tableStyleInfo name="2 junio-style 41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B71:C71" headerRowCount="0">
  <tableColumns count="2">
    <tableColumn id="1" xr3:uid="{00000000-0010-0000-3600-000001000000}" name="Column1"/>
    <tableColumn id="2" xr3:uid="{00000000-0010-0000-3600-000002000000}" name="Column2"/>
  </tableColumns>
  <tableStyleInfo name="2 junio-style 42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B72:C72" headerRowCount="0">
  <tableColumns count="2">
    <tableColumn id="1" xr3:uid="{00000000-0010-0000-3700-000001000000}" name="Column1"/>
    <tableColumn id="2" xr3:uid="{00000000-0010-0000-3700-000002000000}" name="Column2"/>
  </tableColumns>
  <tableStyleInfo name="2 junio-style 43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B73:C73" headerRowCount="0">
  <tableColumns count="2">
    <tableColumn id="1" xr3:uid="{00000000-0010-0000-3800-000001000000}" name="Column1"/>
    <tableColumn id="2" xr3:uid="{00000000-0010-0000-3800-000002000000}" name="Column2"/>
  </tableColumns>
  <tableStyleInfo name="2 junio-style 44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B74:C74" headerRowCount="0">
  <tableColumns count="2">
    <tableColumn id="1" xr3:uid="{00000000-0010-0000-3900-000001000000}" name="Column1"/>
    <tableColumn id="2" xr3:uid="{00000000-0010-0000-3900-000002000000}" name="Column2"/>
  </tableColumns>
  <tableStyleInfo name="2 junio-style 45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B75:C75" headerRowCount="0">
  <tableColumns count="2">
    <tableColumn id="1" xr3:uid="{00000000-0010-0000-3A00-000001000000}" name="Column1"/>
    <tableColumn id="2" xr3:uid="{00000000-0010-0000-3A00-000002000000}" name="Column2"/>
  </tableColumns>
  <tableStyleInfo name="2 junio-style 46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B76:C76" headerRowCount="0">
  <tableColumns count="2">
    <tableColumn id="1" xr3:uid="{00000000-0010-0000-3B00-000001000000}" name="Column1"/>
    <tableColumn id="2" xr3:uid="{00000000-0010-0000-3B00-000002000000}" name="Column2"/>
  </tableColumns>
  <tableStyleInfo name="2 junio-style 47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B77:C77" headerRowCount="0">
  <tableColumns count="2">
    <tableColumn id="1" xr3:uid="{00000000-0010-0000-3C00-000001000000}" name="Column1"/>
    <tableColumn id="2" xr3:uid="{00000000-0010-0000-3C00-000002000000}" name="Column2"/>
  </tableColumns>
  <tableStyleInfo name="2 junio-style 48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B78:C78" headerRowCount="0">
  <tableColumns count="2">
    <tableColumn id="1" xr3:uid="{00000000-0010-0000-3D00-000001000000}" name="Column1"/>
    <tableColumn id="2" xr3:uid="{00000000-0010-0000-3D00-000002000000}" name="Column2"/>
  </tableColumns>
  <tableStyleInfo name="2 junio-style 49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B79:C79" headerRowCount="0">
  <tableColumns count="2">
    <tableColumn id="1" xr3:uid="{00000000-0010-0000-3E00-000001000000}" name="Column1"/>
    <tableColumn id="2" xr3:uid="{00000000-0010-0000-3E00-000002000000}" name="Column2"/>
  </tableColumns>
  <tableStyleInfo name="2 junio-style 50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B80:C80" headerRowCount="0">
  <tableColumns count="2">
    <tableColumn id="1" xr3:uid="{00000000-0010-0000-3F00-000001000000}" name="Column1"/>
    <tableColumn id="2" xr3:uid="{00000000-0010-0000-3F00-000002000000}" name="Column2"/>
  </tableColumns>
  <tableStyleInfo name="2 junio-style 51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B81:C81" headerRowCount="0">
  <tableColumns count="2">
    <tableColumn id="1" xr3:uid="{00000000-0010-0000-4000-000001000000}" name="Column1"/>
    <tableColumn id="2" xr3:uid="{00000000-0010-0000-4000-000002000000}" name="Column2"/>
  </tableColumns>
  <tableStyleInfo name="2 junio-style 52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B82:C82" headerRowCount="0">
  <tableColumns count="2">
    <tableColumn id="1" xr3:uid="{00000000-0010-0000-4100-000001000000}" name="Column1"/>
    <tableColumn id="2" xr3:uid="{00000000-0010-0000-4100-000002000000}" name="Column2"/>
  </tableColumns>
  <tableStyleInfo name="2 junio-style 53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B83:C83" headerRowCount="0">
  <tableColumns count="2">
    <tableColumn id="1" xr3:uid="{00000000-0010-0000-4200-000001000000}" name="Column1"/>
    <tableColumn id="2" xr3:uid="{00000000-0010-0000-4200-000002000000}" name="Column2"/>
  </tableColumns>
  <tableStyleInfo name="2 junio-style 54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8" displayName="Table_68" ref="B84:C84" headerRowCount="0">
  <tableColumns count="2">
    <tableColumn id="1" xr3:uid="{00000000-0010-0000-4300-000001000000}" name="Column1"/>
    <tableColumn id="2" xr3:uid="{00000000-0010-0000-4300-000002000000}" name="Column2"/>
  </tableColumns>
  <tableStyleInfo name="2 junio-style 55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B85:C85" headerRowCount="0">
  <tableColumns count="2">
    <tableColumn id="1" xr3:uid="{00000000-0010-0000-4400-000001000000}" name="Column1"/>
    <tableColumn id="2" xr3:uid="{00000000-0010-0000-4400-000002000000}" name="Column2"/>
  </tableColumns>
  <tableStyleInfo name="2 junio-style 56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B86:C86" headerRowCount="0">
  <tableColumns count="2">
    <tableColumn id="1" xr3:uid="{00000000-0010-0000-4500-000001000000}" name="Column1"/>
    <tableColumn id="2" xr3:uid="{00000000-0010-0000-4500-000002000000}" name="Column2"/>
  </tableColumns>
  <tableStyleInfo name="2 junio-style 57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71" displayName="Table_71" ref="B87:C87" headerRowCount="0">
  <tableColumns count="2">
    <tableColumn id="1" xr3:uid="{00000000-0010-0000-4600-000001000000}" name="Column1"/>
    <tableColumn id="2" xr3:uid="{00000000-0010-0000-4600-000002000000}" name="Column2"/>
  </tableColumns>
  <tableStyleInfo name="2 junio-style 58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2" displayName="Table_72" ref="B88:C88" headerRowCount="0">
  <tableColumns count="2">
    <tableColumn id="1" xr3:uid="{00000000-0010-0000-4700-000001000000}" name="Column1"/>
    <tableColumn id="2" xr3:uid="{00000000-0010-0000-4700-000002000000}" name="Column2"/>
  </tableColumns>
  <tableStyleInfo name="2 junio-style 59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3" displayName="Table_73" ref="B89:C89" headerRowCount="0">
  <tableColumns count="2">
    <tableColumn id="1" xr3:uid="{00000000-0010-0000-4800-000001000000}" name="Column1"/>
    <tableColumn id="2" xr3:uid="{00000000-0010-0000-4800-000002000000}" name="Column2"/>
  </tableColumns>
  <tableStyleInfo name="2 junio-style 60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4" displayName="Table_74" ref="B90:C90" headerRowCount="0">
  <tableColumns count="2">
    <tableColumn id="1" xr3:uid="{00000000-0010-0000-4900-000001000000}" name="Column1"/>
    <tableColumn id="2" xr3:uid="{00000000-0010-0000-4900-000002000000}" name="Column2"/>
  </tableColumns>
  <tableStyleInfo name="2 junio-style 61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5" displayName="Table_75" ref="B92:C92" headerRowCount="0">
  <tableColumns count="2">
    <tableColumn id="1" xr3:uid="{00000000-0010-0000-4A00-000001000000}" name="Column1"/>
    <tableColumn id="2" xr3:uid="{00000000-0010-0000-4A00-000002000000}" name="Column2"/>
  </tableColumns>
  <tableStyleInfo name="2 junio-style 62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6" displayName="Table_76" ref="B93:C93" headerRowCount="0">
  <tableColumns count="2">
    <tableColumn id="1" xr3:uid="{00000000-0010-0000-4B00-000001000000}" name="Column1"/>
    <tableColumn id="2" xr3:uid="{00000000-0010-0000-4B00-000002000000}" name="Column2"/>
  </tableColumns>
  <tableStyleInfo name="2 junio-style 63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B97:C97" headerRowCount="0">
  <tableColumns count="2">
    <tableColumn id="1" xr3:uid="{00000000-0010-0000-4C00-000001000000}" name="Column1"/>
    <tableColumn id="2" xr3:uid="{00000000-0010-0000-4C00-000002000000}" name="Column2"/>
  </tableColumns>
  <tableStyleInfo name="2 junio-style 64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B98:C98" headerRowCount="0">
  <tableColumns count="2">
    <tableColumn id="1" xr3:uid="{00000000-0010-0000-4D00-000001000000}" name="Column1"/>
    <tableColumn id="2" xr3:uid="{00000000-0010-0000-4D00-000002000000}" name="Column2"/>
  </tableColumns>
  <tableStyleInfo name="2 junio-style 65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9" displayName="Table_79" ref="B99:C99" headerRowCount="0">
  <tableColumns count="2">
    <tableColumn id="1" xr3:uid="{00000000-0010-0000-4E00-000001000000}" name="Column1"/>
    <tableColumn id="2" xr3:uid="{00000000-0010-0000-4E00-000002000000}" name="Column2"/>
  </tableColumns>
  <tableStyleInfo name="2 junio-style 66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80" displayName="Table_80" ref="B100:C100" headerRowCount="0">
  <tableColumns count="2">
    <tableColumn id="1" xr3:uid="{00000000-0010-0000-4F00-000001000000}" name="Column1"/>
    <tableColumn id="2" xr3:uid="{00000000-0010-0000-4F00-000002000000}" name="Column2"/>
  </tableColumns>
  <tableStyleInfo name="2 junio-style 67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81" displayName="Table_81" ref="B101:C101" headerRowCount="0">
  <tableColumns count="2">
    <tableColumn id="1" xr3:uid="{00000000-0010-0000-5000-000001000000}" name="Column1"/>
    <tableColumn id="2" xr3:uid="{00000000-0010-0000-5000-000002000000}" name="Column2"/>
  </tableColumns>
  <tableStyleInfo name="2 junio-style 68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82" displayName="Table_82" ref="B2:C2" headerRowCount="0">
  <tableColumns count="2">
    <tableColumn id="1" xr3:uid="{00000000-0010-0000-5100-000001000000}" name="Column1"/>
    <tableColumn id="2" xr3:uid="{00000000-0010-0000-5100-000002000000}" name="Column2"/>
  </tableColumns>
  <tableStyleInfo name="3 junio-style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83" displayName="Table_83" ref="B3:C3" headerRowCount="0">
  <tableColumns count="2">
    <tableColumn id="1" xr3:uid="{00000000-0010-0000-5200-000001000000}" name="Column1"/>
    <tableColumn id="2" xr3:uid="{00000000-0010-0000-5200-000002000000}" name="Column2"/>
  </tableColumns>
  <tableStyleInfo name="3 junio-style 2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4" displayName="Table_84" ref="B4:C4" headerRowCount="0">
  <tableColumns count="2">
    <tableColumn id="1" xr3:uid="{00000000-0010-0000-5300-000001000000}" name="Column1"/>
    <tableColumn id="2" xr3:uid="{00000000-0010-0000-5300-000002000000}" name="Column2"/>
  </tableColumns>
  <tableStyleInfo name="3 junio-style 3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5" displayName="Table_85" ref="B5:C5" headerRowCount="0">
  <tableColumns count="2">
    <tableColumn id="1" xr3:uid="{00000000-0010-0000-5400-000001000000}" name="Column1"/>
    <tableColumn id="2" xr3:uid="{00000000-0010-0000-5400-000002000000}" name="Column2"/>
  </tableColumns>
  <tableStyleInfo name="3 junio-style 4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6" displayName="Table_86" ref="B6:C6" headerRowCount="0">
  <tableColumns count="2">
    <tableColumn id="1" xr3:uid="{00000000-0010-0000-5500-000001000000}" name="Column1"/>
    <tableColumn id="2" xr3:uid="{00000000-0010-0000-5500-000002000000}" name="Column2"/>
  </tableColumns>
  <tableStyleInfo name="3 junio-style 5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7" displayName="Table_87" ref="B7:C7" headerRowCount="0">
  <tableColumns count="2">
    <tableColumn id="1" xr3:uid="{00000000-0010-0000-5600-000001000000}" name="Column1"/>
    <tableColumn id="2" xr3:uid="{00000000-0010-0000-5600-000002000000}" name="Column2"/>
  </tableColumns>
  <tableStyleInfo name="3 junio-style 6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8" displayName="Table_88" ref="B8:C8" headerRowCount="0">
  <tableColumns count="2">
    <tableColumn id="1" xr3:uid="{00000000-0010-0000-5700-000001000000}" name="Column1"/>
    <tableColumn id="2" xr3:uid="{00000000-0010-0000-5700-000002000000}" name="Column2"/>
  </tableColumns>
  <tableStyleInfo name="3 junio-style 7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9" displayName="Table_89" ref="B9:C9" headerRowCount="0">
  <tableColumns count="2">
    <tableColumn id="1" xr3:uid="{00000000-0010-0000-5800-000001000000}" name="Column1"/>
    <tableColumn id="2" xr3:uid="{00000000-0010-0000-5800-000002000000}" name="Column2"/>
  </tableColumns>
  <tableStyleInfo name="3 junio-style 8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90" displayName="Table_90" ref="B11:C11" headerRowCount="0">
  <tableColumns count="2">
    <tableColumn id="1" xr3:uid="{00000000-0010-0000-5900-000001000000}" name="Column1"/>
    <tableColumn id="2" xr3:uid="{00000000-0010-0000-5900-000002000000}" name="Column2"/>
  </tableColumns>
  <tableStyleInfo name="3 junio-style 9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91" displayName="Table_91" ref="B12:C12" headerRowCount="0">
  <tableColumns count="2">
    <tableColumn id="1" xr3:uid="{00000000-0010-0000-5A00-000001000000}" name="Column1"/>
    <tableColumn id="2" xr3:uid="{00000000-0010-0000-5A00-000002000000}" name="Column2"/>
  </tableColumns>
  <tableStyleInfo name="3 junio-style 10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92" displayName="Table_92" ref="B13:C13" headerRowCount="0">
  <tableColumns count="2">
    <tableColumn id="1" xr3:uid="{00000000-0010-0000-5B00-000001000000}" name="Column1"/>
    <tableColumn id="2" xr3:uid="{00000000-0010-0000-5B00-000002000000}" name="Column2"/>
  </tableColumns>
  <tableStyleInfo name="3 junio-style 11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93" displayName="Table_93" ref="B14:C14" headerRowCount="0">
  <tableColumns count="2">
    <tableColumn id="1" xr3:uid="{00000000-0010-0000-5C00-000001000000}" name="Column1"/>
    <tableColumn id="2" xr3:uid="{00000000-0010-0000-5C00-000002000000}" name="Column2"/>
  </tableColumns>
  <tableStyleInfo name="3 junio-style 12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94" displayName="Table_94" ref="B15:C15" headerRowCount="0">
  <tableColumns count="2">
    <tableColumn id="1" xr3:uid="{00000000-0010-0000-5D00-000001000000}" name="Column1"/>
    <tableColumn id="2" xr3:uid="{00000000-0010-0000-5D00-000002000000}" name="Column2"/>
  </tableColumns>
  <tableStyleInfo name="3 junio-style 13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5" displayName="Table_95" ref="B16:C16" headerRowCount="0">
  <tableColumns count="2">
    <tableColumn id="1" xr3:uid="{00000000-0010-0000-5E00-000001000000}" name="Column1"/>
    <tableColumn id="2" xr3:uid="{00000000-0010-0000-5E00-000002000000}" name="Column2"/>
  </tableColumns>
  <tableStyleInfo name="3 junio-style 14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6" displayName="Table_96" ref="B17:C17" headerRowCount="0">
  <tableColumns count="2">
    <tableColumn id="1" xr3:uid="{00000000-0010-0000-5F00-000001000000}" name="Column1"/>
    <tableColumn id="2" xr3:uid="{00000000-0010-0000-5F00-000002000000}" name="Column2"/>
  </tableColumns>
  <tableStyleInfo name="3 junio-style 15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7" displayName="Table_97" ref="B18:C18" headerRowCount="0">
  <tableColumns count="2">
    <tableColumn id="1" xr3:uid="{00000000-0010-0000-6000-000001000000}" name="Column1"/>
    <tableColumn id="2" xr3:uid="{00000000-0010-0000-6000-000002000000}" name="Column2"/>
  </tableColumns>
  <tableStyleInfo name="3 junio-style 16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8" displayName="Table_98" ref="B19:C19" headerRowCount="0">
  <tableColumns count="2">
    <tableColumn id="1" xr3:uid="{00000000-0010-0000-6100-000001000000}" name="Column1"/>
    <tableColumn id="2" xr3:uid="{00000000-0010-0000-6100-000002000000}" name="Column2"/>
  </tableColumns>
  <tableStyleInfo name="3 junio-style 17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9" displayName="Table_99" ref="B20:C20" headerRowCount="0">
  <tableColumns count="2">
    <tableColumn id="1" xr3:uid="{00000000-0010-0000-6200-000001000000}" name="Column1"/>
    <tableColumn id="2" xr3:uid="{00000000-0010-0000-6200-000002000000}" name="Column2"/>
  </tableColumns>
  <tableStyleInfo name="3 junio-style 18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_100" displayName="Table_100" ref="B21:C21" headerRowCount="0">
  <tableColumns count="2">
    <tableColumn id="1" xr3:uid="{00000000-0010-0000-6300-000001000000}" name="Column1"/>
    <tableColumn id="2" xr3:uid="{00000000-0010-0000-6300-000002000000}" name="Column2"/>
  </tableColumns>
  <tableStyleInfo name="3 junio-style 19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Table_101" displayName="Table_101" ref="B22:C22" headerRowCount="0">
  <tableColumns count="2">
    <tableColumn id="1" xr3:uid="{00000000-0010-0000-6400-000001000000}" name="Column1"/>
    <tableColumn id="2" xr3:uid="{00000000-0010-0000-6400-000002000000}" name="Column2"/>
  </tableColumns>
  <tableStyleInfo name="3 junio-style 20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Table_102" displayName="Table_102" ref="B23:C23" headerRowCount="0">
  <tableColumns count="2">
    <tableColumn id="1" xr3:uid="{00000000-0010-0000-6500-000001000000}" name="Column1"/>
    <tableColumn id="2" xr3:uid="{00000000-0010-0000-6500-000002000000}" name="Column2"/>
  </tableColumns>
  <tableStyleInfo name="3 junio-style 21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Table_103" displayName="Table_103" ref="B25:C25" headerRowCount="0">
  <tableColumns count="2">
    <tableColumn id="1" xr3:uid="{00000000-0010-0000-6600-000001000000}" name="Column1"/>
    <tableColumn id="2" xr3:uid="{00000000-0010-0000-6600-000002000000}" name="Column2"/>
  </tableColumns>
  <tableStyleInfo name="3 junio-style 22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Table_104" displayName="Table_104" ref="B26:C26" headerRowCount="0">
  <tableColumns count="2">
    <tableColumn id="1" xr3:uid="{00000000-0010-0000-6700-000001000000}" name="Column1"/>
    <tableColumn id="2" xr3:uid="{00000000-0010-0000-6700-000002000000}" name="Column2"/>
  </tableColumns>
  <tableStyleInfo name="3 junio-style 23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Table_105" displayName="Table_105" ref="B27:C27" headerRowCount="0">
  <tableColumns count="2">
    <tableColumn id="1" xr3:uid="{00000000-0010-0000-6800-000001000000}" name="Column1"/>
    <tableColumn id="2" xr3:uid="{00000000-0010-0000-6800-000002000000}" name="Column2"/>
  </tableColumns>
  <tableStyleInfo name="3 junio-style 24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Table_106" displayName="Table_106" ref="B28:C28" headerRowCount="0">
  <tableColumns count="2">
    <tableColumn id="1" xr3:uid="{00000000-0010-0000-6900-000001000000}" name="Column1"/>
    <tableColumn id="2" xr3:uid="{00000000-0010-0000-6900-000002000000}" name="Column2"/>
  </tableColumns>
  <tableStyleInfo name="3 junio-style 25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Table_107" displayName="Table_107" ref="B29:C29" headerRowCount="0">
  <tableColumns count="2">
    <tableColumn id="1" xr3:uid="{00000000-0010-0000-6A00-000001000000}" name="Column1"/>
    <tableColumn id="2" xr3:uid="{00000000-0010-0000-6A00-000002000000}" name="Column2"/>
  </tableColumns>
  <tableStyleInfo name="3 junio-style 26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Table_108" displayName="Table_108" ref="B30:C30" headerRowCount="0">
  <tableColumns count="2">
    <tableColumn id="1" xr3:uid="{00000000-0010-0000-6B00-000001000000}" name="Column1"/>
    <tableColumn id="2" xr3:uid="{00000000-0010-0000-6B00-000002000000}" name="Column2"/>
  </tableColumns>
  <tableStyleInfo name="3 junio-style 27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Table_109" displayName="Table_109" ref="B31:C31" headerRowCount="0">
  <tableColumns count="2">
    <tableColumn id="1" xr3:uid="{00000000-0010-0000-6C00-000001000000}" name="Column1"/>
    <tableColumn id="2" xr3:uid="{00000000-0010-0000-6C00-000002000000}" name="Column2"/>
  </tableColumns>
  <tableStyleInfo name="3 junio-style 28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Table_110" displayName="Table_110" ref="B32:C32" headerRowCount="0">
  <tableColumns count="2">
    <tableColumn id="1" xr3:uid="{00000000-0010-0000-6D00-000001000000}" name="Column1"/>
    <tableColumn id="2" xr3:uid="{00000000-0010-0000-6D00-000002000000}" name="Column2"/>
  </tableColumns>
  <tableStyleInfo name="3 junio-style 29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Table_111" displayName="Table_111" ref="B33:C33" headerRowCount="0">
  <tableColumns count="2">
    <tableColumn id="1" xr3:uid="{00000000-0010-0000-6E00-000001000000}" name="Column1"/>
    <tableColumn id="2" xr3:uid="{00000000-0010-0000-6E00-000002000000}" name="Column2"/>
  </tableColumns>
  <tableStyleInfo name="3 junio-style 30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Table_112" displayName="Table_112" ref="B34:C34" headerRowCount="0">
  <tableColumns count="2">
    <tableColumn id="1" xr3:uid="{00000000-0010-0000-6F00-000001000000}" name="Column1"/>
    <tableColumn id="2" xr3:uid="{00000000-0010-0000-6F00-000002000000}" name="Column2"/>
  </tableColumns>
  <tableStyleInfo name="3 junio-style 31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Table_113" displayName="Table_113" ref="B35:C35" headerRowCount="0">
  <tableColumns count="2">
    <tableColumn id="1" xr3:uid="{00000000-0010-0000-7000-000001000000}" name="Column1"/>
    <tableColumn id="2" xr3:uid="{00000000-0010-0000-7000-000002000000}" name="Column2"/>
  </tableColumns>
  <tableStyleInfo name="3 junio-style 32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Table_114" displayName="Table_114" ref="B37:C37" headerRowCount="0">
  <tableColumns count="2">
    <tableColumn id="1" xr3:uid="{00000000-0010-0000-7100-000001000000}" name="Column1"/>
    <tableColumn id="2" xr3:uid="{00000000-0010-0000-7100-000002000000}" name="Column2"/>
  </tableColumns>
  <tableStyleInfo name="3 junio-style 33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Table_115" displayName="Table_115" ref="B38:C38" headerRowCount="0">
  <tableColumns count="2">
    <tableColumn id="1" xr3:uid="{00000000-0010-0000-7200-000001000000}" name="Column1"/>
    <tableColumn id="2" xr3:uid="{00000000-0010-0000-7200-000002000000}" name="Column2"/>
  </tableColumns>
  <tableStyleInfo name="3 junio-style 34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_116" displayName="Table_116" ref="B39:C39" headerRowCount="0">
  <tableColumns count="2">
    <tableColumn id="1" xr3:uid="{00000000-0010-0000-7300-000001000000}" name="Column1"/>
    <tableColumn id="2" xr3:uid="{00000000-0010-0000-7300-000002000000}" name="Column2"/>
  </tableColumns>
  <tableStyleInfo name="3 junio-style 35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_117" displayName="Table_117" ref="B40:C40" headerRowCount="0">
  <tableColumns count="2">
    <tableColumn id="1" xr3:uid="{00000000-0010-0000-7400-000001000000}" name="Column1"/>
    <tableColumn id="2" xr3:uid="{00000000-0010-0000-7400-000002000000}" name="Column2"/>
  </tableColumns>
  <tableStyleInfo name="3 junio-style 36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_118" displayName="Table_118" ref="B41:C41" headerRowCount="0">
  <tableColumns count="2">
    <tableColumn id="1" xr3:uid="{00000000-0010-0000-7500-000001000000}" name="Column1"/>
    <tableColumn id="2" xr3:uid="{00000000-0010-0000-7500-000002000000}" name="Column2"/>
  </tableColumns>
  <tableStyleInfo name="3 junio-style 37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_119" displayName="Table_119" ref="B42:C42" headerRowCount="0">
  <tableColumns count="2">
    <tableColumn id="1" xr3:uid="{00000000-0010-0000-7600-000001000000}" name="Column1"/>
    <tableColumn id="2" xr3:uid="{00000000-0010-0000-7600-000002000000}" name="Column2"/>
  </tableColumns>
  <tableStyleInfo name="3 junio-style 38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_120" displayName="Table_120" ref="B43:C43" headerRowCount="0">
  <tableColumns count="2">
    <tableColumn id="1" xr3:uid="{00000000-0010-0000-7700-000001000000}" name="Column1"/>
    <tableColumn id="2" xr3:uid="{00000000-0010-0000-7700-000002000000}" name="Column2"/>
  </tableColumns>
  <tableStyleInfo name="3 junio-style 39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_121" displayName="Table_121" ref="B44:C44" headerRowCount="0">
  <tableColumns count="2">
    <tableColumn id="1" xr3:uid="{00000000-0010-0000-7800-000001000000}" name="Column1"/>
    <tableColumn id="2" xr3:uid="{00000000-0010-0000-7800-000002000000}" name="Column2"/>
  </tableColumns>
  <tableStyleInfo name="3 junio-style 40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Table_122" displayName="Table_122" ref="B45:C45" headerRowCount="0">
  <tableColumns count="2">
    <tableColumn id="1" xr3:uid="{00000000-0010-0000-7900-000001000000}" name="Column1"/>
    <tableColumn id="2" xr3:uid="{00000000-0010-0000-7900-000002000000}" name="Column2"/>
  </tableColumns>
  <tableStyleInfo name="3 junio-style 41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Table_123" displayName="Table_123" ref="B46:C46" headerRowCount="0">
  <tableColumns count="2">
    <tableColumn id="1" xr3:uid="{00000000-0010-0000-7A00-000001000000}" name="Column1"/>
    <tableColumn id="2" xr3:uid="{00000000-0010-0000-7A00-000002000000}" name="Column2"/>
  </tableColumns>
  <tableStyleInfo name="3 junio-style 42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Table_124" displayName="Table_124" ref="B47:C47" headerRowCount="0">
  <tableColumns count="2">
    <tableColumn id="1" xr3:uid="{00000000-0010-0000-7B00-000001000000}" name="Column1"/>
    <tableColumn id="2" xr3:uid="{00000000-0010-0000-7B00-000002000000}" name="Column2"/>
  </tableColumns>
  <tableStyleInfo name="3 junio-style 43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Table_125" displayName="Table_125" ref="B48:C48" headerRowCount="0">
  <tableColumns count="2">
    <tableColumn id="1" xr3:uid="{00000000-0010-0000-7C00-000001000000}" name="Column1"/>
    <tableColumn id="2" xr3:uid="{00000000-0010-0000-7C00-000002000000}" name="Column2"/>
  </tableColumns>
  <tableStyleInfo name="3 junio-style 44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Table_126" displayName="Table_126" ref="B49:C49" headerRowCount="0">
  <tableColumns count="2">
    <tableColumn id="1" xr3:uid="{00000000-0010-0000-7D00-000001000000}" name="Column1"/>
    <tableColumn id="2" xr3:uid="{00000000-0010-0000-7D00-000002000000}" name="Column2"/>
  </tableColumns>
  <tableStyleInfo name="3 junio-style 45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Table_127" displayName="Table_127" ref="B52:C52" headerRowCount="0">
  <tableColumns count="2">
    <tableColumn id="1" xr3:uid="{00000000-0010-0000-7E00-000001000000}" name="Column1"/>
    <tableColumn id="2" xr3:uid="{00000000-0010-0000-7E00-000002000000}" name="Column2"/>
  </tableColumns>
  <tableStyleInfo name="3 junio-style 46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Table_128" displayName="Table_128" ref="B53:C53" headerRowCount="0">
  <tableColumns count="2">
    <tableColumn id="1" xr3:uid="{00000000-0010-0000-7F00-000001000000}" name="Column1"/>
    <tableColumn id="2" xr3:uid="{00000000-0010-0000-7F00-000002000000}" name="Column2"/>
  </tableColumns>
  <tableStyleInfo name="3 junio-style 47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Table_129" displayName="Table_129" ref="B54:C54" headerRowCount="0">
  <tableColumns count="2">
    <tableColumn id="1" xr3:uid="{00000000-0010-0000-8000-000001000000}" name="Column1"/>
    <tableColumn id="2" xr3:uid="{00000000-0010-0000-8000-000002000000}" name="Column2"/>
  </tableColumns>
  <tableStyleInfo name="3 junio-style 48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Table_130" displayName="Table_130" ref="B55:C55" headerRowCount="0">
  <tableColumns count="2">
    <tableColumn id="1" xr3:uid="{00000000-0010-0000-8100-000001000000}" name="Column1"/>
    <tableColumn id="2" xr3:uid="{00000000-0010-0000-8100-000002000000}" name="Column2"/>
  </tableColumns>
  <tableStyleInfo name="3 junio-style 49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Table_131" displayName="Table_131" ref="B56:C56" headerRowCount="0">
  <tableColumns count="2">
    <tableColumn id="1" xr3:uid="{00000000-0010-0000-8200-000001000000}" name="Column1"/>
    <tableColumn id="2" xr3:uid="{00000000-0010-0000-8200-000002000000}" name="Column2"/>
  </tableColumns>
  <tableStyleInfo name="3 junio-style 50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Table_132" displayName="Table_132" ref="B57:C57" headerRowCount="0">
  <tableColumns count="2">
    <tableColumn id="1" xr3:uid="{00000000-0010-0000-8300-000001000000}" name="Column1"/>
    <tableColumn id="2" xr3:uid="{00000000-0010-0000-8300-000002000000}" name="Column2"/>
  </tableColumns>
  <tableStyleInfo name="3 junio-style 51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Table_133" displayName="Table_133" ref="B59:C59" headerRowCount="0">
  <tableColumns count="2">
    <tableColumn id="1" xr3:uid="{00000000-0010-0000-8400-000001000000}" name="Column1"/>
    <tableColumn id="2" xr3:uid="{00000000-0010-0000-8400-000002000000}" name="Column2"/>
  </tableColumns>
  <tableStyleInfo name="3 junio-style 52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Table_134" displayName="Table_134" ref="B60:C60" headerRowCount="0">
  <tableColumns count="2">
    <tableColumn id="1" xr3:uid="{00000000-0010-0000-8500-000001000000}" name="Column1"/>
    <tableColumn id="2" xr3:uid="{00000000-0010-0000-8500-000002000000}" name="Column2"/>
  </tableColumns>
  <tableStyleInfo name="3 junio-style 53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Table_135" displayName="Table_135" ref="B61:C61" headerRowCount="0">
  <tableColumns count="2">
    <tableColumn id="1" xr3:uid="{00000000-0010-0000-8600-000001000000}" name="Column1"/>
    <tableColumn id="2" xr3:uid="{00000000-0010-0000-8600-000002000000}" name="Column2"/>
  </tableColumns>
  <tableStyleInfo name="3 junio-style 54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Table_136" displayName="Table_136" ref="B62:C62" headerRowCount="0">
  <tableColumns count="2">
    <tableColumn id="1" xr3:uid="{00000000-0010-0000-8700-000001000000}" name="Column1"/>
    <tableColumn id="2" xr3:uid="{00000000-0010-0000-8700-000002000000}" name="Column2"/>
  </tableColumns>
  <tableStyleInfo name="3 junio-style 55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Table_137" displayName="Table_137" ref="B65:C65" headerRowCount="0">
  <tableColumns count="2">
    <tableColumn id="1" xr3:uid="{00000000-0010-0000-8800-000001000000}" name="Column1"/>
    <tableColumn id="2" xr3:uid="{00000000-0010-0000-8800-000002000000}" name="Column2"/>
  </tableColumns>
  <tableStyleInfo name="3 junio-style 56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Table_138" displayName="Table_138" ref="B66:C66" headerRowCount="0">
  <tableColumns count="2">
    <tableColumn id="1" xr3:uid="{00000000-0010-0000-8900-000001000000}" name="Column1"/>
    <tableColumn id="2" xr3:uid="{00000000-0010-0000-8900-000002000000}" name="Column2"/>
  </tableColumns>
  <tableStyleInfo name="3 junio-style 57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Table_139" displayName="Table_139" ref="B67:C67" headerRowCount="0">
  <tableColumns count="2">
    <tableColumn id="1" xr3:uid="{00000000-0010-0000-8A00-000001000000}" name="Column1"/>
    <tableColumn id="2" xr3:uid="{00000000-0010-0000-8A00-000002000000}" name="Column2"/>
  </tableColumns>
  <tableStyleInfo name="3 junio-style 58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Table_140" displayName="Table_140" ref="B68:C68" headerRowCount="0">
  <tableColumns count="2">
    <tableColumn id="1" xr3:uid="{00000000-0010-0000-8B00-000001000000}" name="Column1"/>
    <tableColumn id="2" xr3:uid="{00000000-0010-0000-8B00-000002000000}" name="Column2"/>
  </tableColumns>
  <tableStyleInfo name="3 junio-style 59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Table_141" displayName="Table_141" ref="B69:C69" headerRowCount="0">
  <tableColumns count="2">
    <tableColumn id="1" xr3:uid="{00000000-0010-0000-8C00-000001000000}" name="Column1"/>
    <tableColumn id="2" xr3:uid="{00000000-0010-0000-8C00-000002000000}" name="Column2"/>
  </tableColumns>
  <tableStyleInfo name="3 junio-style 60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Table_142" displayName="Table_142" ref="B70:C70" headerRowCount="0">
  <tableColumns count="2">
    <tableColumn id="1" xr3:uid="{00000000-0010-0000-8D00-000001000000}" name="Column1"/>
    <tableColumn id="2" xr3:uid="{00000000-0010-0000-8D00-000002000000}" name="Column2"/>
  </tableColumns>
  <tableStyleInfo name="3 junio-style 61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able_143" displayName="Table_143" ref="B71:C71" headerRowCount="0">
  <tableColumns count="2">
    <tableColumn id="1" xr3:uid="{00000000-0010-0000-8E00-000001000000}" name="Column1"/>
    <tableColumn id="2" xr3:uid="{00000000-0010-0000-8E00-000002000000}" name="Column2"/>
  </tableColumns>
  <tableStyleInfo name="3 junio-style 62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Table_144" displayName="Table_144" ref="B72:C72" headerRowCount="0">
  <tableColumns count="2">
    <tableColumn id="1" xr3:uid="{00000000-0010-0000-8F00-000001000000}" name="Column1"/>
    <tableColumn id="2" xr3:uid="{00000000-0010-0000-8F00-000002000000}" name="Column2"/>
  </tableColumns>
  <tableStyleInfo name="3 junio-style 63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Table_145" displayName="Table_145" ref="B73:C73" headerRowCount="0">
  <tableColumns count="2">
    <tableColumn id="1" xr3:uid="{00000000-0010-0000-9000-000001000000}" name="Column1"/>
    <tableColumn id="2" xr3:uid="{00000000-0010-0000-9000-000002000000}" name="Column2"/>
  </tableColumns>
  <tableStyleInfo name="3 junio-style 64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Table_146" displayName="Table_146" ref="B76:C76" headerRowCount="0">
  <tableColumns count="2">
    <tableColumn id="1" xr3:uid="{00000000-0010-0000-9100-000001000000}" name="Column1"/>
    <tableColumn id="2" xr3:uid="{00000000-0010-0000-9100-000002000000}" name="Column2"/>
  </tableColumns>
  <tableStyleInfo name="3 junio-style 65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Table_147" displayName="Table_147" ref="B77:C77" headerRowCount="0">
  <tableColumns count="2">
    <tableColumn id="1" xr3:uid="{00000000-0010-0000-9200-000001000000}" name="Column1"/>
    <tableColumn id="2" xr3:uid="{00000000-0010-0000-9200-000002000000}" name="Column2"/>
  </tableColumns>
  <tableStyleInfo name="3 junio-style 66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Table_148" displayName="Table_148" ref="B78:C78" headerRowCount="0">
  <tableColumns count="2">
    <tableColumn id="1" xr3:uid="{00000000-0010-0000-9300-000001000000}" name="Column1"/>
    <tableColumn id="2" xr3:uid="{00000000-0010-0000-9300-000002000000}" name="Column2"/>
  </tableColumns>
  <tableStyleInfo name="3 junio-style 67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Table_149" displayName="Table_149" ref="B80:C80" headerRowCount="0">
  <tableColumns count="2">
    <tableColumn id="1" xr3:uid="{00000000-0010-0000-9400-000001000000}" name="Column1"/>
    <tableColumn id="2" xr3:uid="{00000000-0010-0000-9400-000002000000}" name="Column2"/>
  </tableColumns>
  <tableStyleInfo name="3 junio-style 68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Table_150" displayName="Table_150" ref="B82:C82" headerRowCount="0">
  <tableColumns count="2">
    <tableColumn id="1" xr3:uid="{00000000-0010-0000-9500-000001000000}" name="Column1"/>
    <tableColumn id="2" xr3:uid="{00000000-0010-0000-9500-000002000000}" name="Column2"/>
  </tableColumns>
  <tableStyleInfo name="3 junio-style 69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Table_151" displayName="Table_151" ref="B83:C83" headerRowCount="0">
  <tableColumns count="2">
    <tableColumn id="1" xr3:uid="{00000000-0010-0000-9600-000001000000}" name="Column1"/>
    <tableColumn id="2" xr3:uid="{00000000-0010-0000-9600-000002000000}" name="Column2"/>
  </tableColumns>
  <tableStyleInfo name="3 junio-style 70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Table_152" displayName="Table_152" ref="B84:C84" headerRowCount="0">
  <tableColumns count="2">
    <tableColumn id="1" xr3:uid="{00000000-0010-0000-9700-000001000000}" name="Column1"/>
    <tableColumn id="2" xr3:uid="{00000000-0010-0000-9700-000002000000}" name="Column2"/>
  </tableColumns>
  <tableStyleInfo name="3 junio-style 71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Table_153" displayName="Table_153" ref="B86:C86" headerRowCount="0">
  <tableColumns count="2">
    <tableColumn id="1" xr3:uid="{00000000-0010-0000-9800-000001000000}" name="Column1"/>
    <tableColumn id="2" xr3:uid="{00000000-0010-0000-9800-000002000000}" name="Column2"/>
  </tableColumns>
  <tableStyleInfo name="3 junio-style 72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Table_154" displayName="Table_154" ref="B87:C87" headerRowCount="0">
  <tableColumns count="2">
    <tableColumn id="1" xr3:uid="{00000000-0010-0000-9900-000001000000}" name="Column1"/>
    <tableColumn id="2" xr3:uid="{00000000-0010-0000-9900-000002000000}" name="Column2"/>
  </tableColumns>
  <tableStyleInfo name="3 junio-style 73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Table_155" displayName="Table_155" ref="B89:C89" headerRowCount="0">
  <tableColumns count="2">
    <tableColumn id="1" xr3:uid="{00000000-0010-0000-9A00-000001000000}" name="Column1"/>
    <tableColumn id="2" xr3:uid="{00000000-0010-0000-9A00-000002000000}" name="Column2"/>
  </tableColumns>
  <tableStyleInfo name="3 junio-style 74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Table_156" displayName="Table_156" ref="B91:C91" headerRowCount="0">
  <tableColumns count="2">
    <tableColumn id="1" xr3:uid="{00000000-0010-0000-9B00-000001000000}" name="Column1"/>
    <tableColumn id="2" xr3:uid="{00000000-0010-0000-9B00-000002000000}" name="Column2"/>
  </tableColumns>
  <tableStyleInfo name="3 junio-style 75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able_157" displayName="Table_157" ref="B92:C92" headerRowCount="0">
  <tableColumns count="2">
    <tableColumn id="1" xr3:uid="{00000000-0010-0000-9C00-000001000000}" name="Column1"/>
    <tableColumn id="2" xr3:uid="{00000000-0010-0000-9C00-000002000000}" name="Column2"/>
  </tableColumns>
  <tableStyleInfo name="3 junio-style 76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Table_158" displayName="Table_158" ref="B93:C93" headerRowCount="0">
  <tableColumns count="2">
    <tableColumn id="1" xr3:uid="{00000000-0010-0000-9D00-000001000000}" name="Column1"/>
    <tableColumn id="2" xr3:uid="{00000000-0010-0000-9D00-000002000000}" name="Column2"/>
  </tableColumns>
  <tableStyleInfo name="3 junio-style 77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Table_159" displayName="Table_159" ref="B94:C94" headerRowCount="0">
  <tableColumns count="2">
    <tableColumn id="1" xr3:uid="{00000000-0010-0000-9E00-000001000000}" name="Column1"/>
    <tableColumn id="2" xr3:uid="{00000000-0010-0000-9E00-000002000000}" name="Column2"/>
  </tableColumns>
  <tableStyleInfo name="3 junio-style 78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Table_160" displayName="Table_160" ref="B95:C95" headerRowCount="0">
  <tableColumns count="2">
    <tableColumn id="1" xr3:uid="{00000000-0010-0000-9F00-000001000000}" name="Column1"/>
    <tableColumn id="2" xr3:uid="{00000000-0010-0000-9F00-000002000000}" name="Column2"/>
  </tableColumns>
  <tableStyleInfo name="3 junio-style 79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Table_161" displayName="Table_161" ref="B96:C96" headerRowCount="0">
  <tableColumns count="2">
    <tableColumn id="1" xr3:uid="{00000000-0010-0000-A000-000001000000}" name="Column1"/>
    <tableColumn id="2" xr3:uid="{00000000-0010-0000-A000-000002000000}" name="Column2"/>
  </tableColumns>
  <tableStyleInfo name="3 junio-style 80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Table_162" displayName="Table_162" ref="B97:C97" headerRowCount="0">
  <tableColumns count="2">
    <tableColumn id="1" xr3:uid="{00000000-0010-0000-A100-000001000000}" name="Column1"/>
    <tableColumn id="2" xr3:uid="{00000000-0010-0000-A100-000002000000}" name="Column2"/>
  </tableColumns>
  <tableStyleInfo name="3 junio-style 81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Table_163" displayName="Table_163" ref="B98:C98" headerRowCount="0">
  <tableColumns count="2">
    <tableColumn id="1" xr3:uid="{00000000-0010-0000-A200-000001000000}" name="Column1"/>
    <tableColumn id="2" xr3:uid="{00000000-0010-0000-A200-000002000000}" name="Column2"/>
  </tableColumns>
  <tableStyleInfo name="3 junio-style 82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Table_164" displayName="Table_164" ref="B99:C99" headerRowCount="0">
  <tableColumns count="2">
    <tableColumn id="1" xr3:uid="{00000000-0010-0000-A300-000001000000}" name="Column1"/>
    <tableColumn id="2" xr3:uid="{00000000-0010-0000-A300-000002000000}" name="Column2"/>
  </tableColumns>
  <tableStyleInfo name="3 junio-style 83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Table_165" displayName="Table_165" ref="B100:C100" headerRowCount="0">
  <tableColumns count="2">
    <tableColumn id="1" xr3:uid="{00000000-0010-0000-A400-000001000000}" name="Column1"/>
    <tableColumn id="2" xr3:uid="{00000000-0010-0000-A400-000002000000}" name="Column2"/>
  </tableColumns>
  <tableStyleInfo name="3 junio-style 84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Table_166" displayName="Table_166" ref="B101:C101" headerRowCount="0">
  <tableColumns count="2">
    <tableColumn id="1" xr3:uid="{00000000-0010-0000-A500-000001000000}" name="Column1"/>
    <tableColumn id="2" xr3:uid="{00000000-0010-0000-A500-000002000000}" name="Column2"/>
  </tableColumns>
  <tableStyleInfo name="3 junio-style 8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39.xml"/><Relationship Id="rId21" Type="http://schemas.openxmlformats.org/officeDocument/2006/relationships/table" Target="../tables/table34.xml"/><Relationship Id="rId34" Type="http://schemas.openxmlformats.org/officeDocument/2006/relationships/table" Target="../tables/table47.xml"/><Relationship Id="rId42" Type="http://schemas.openxmlformats.org/officeDocument/2006/relationships/table" Target="../tables/table55.xml"/><Relationship Id="rId47" Type="http://schemas.openxmlformats.org/officeDocument/2006/relationships/table" Target="../tables/table60.xml"/><Relationship Id="rId50" Type="http://schemas.openxmlformats.org/officeDocument/2006/relationships/table" Target="../tables/table63.xml"/><Relationship Id="rId55" Type="http://schemas.openxmlformats.org/officeDocument/2006/relationships/table" Target="../tables/table68.xml"/><Relationship Id="rId63" Type="http://schemas.openxmlformats.org/officeDocument/2006/relationships/table" Target="../tables/table76.xml"/><Relationship Id="rId68" Type="http://schemas.openxmlformats.org/officeDocument/2006/relationships/table" Target="../tables/table81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6" Type="http://schemas.openxmlformats.org/officeDocument/2006/relationships/table" Target="../tables/table29.xml"/><Relationship Id="rId29" Type="http://schemas.openxmlformats.org/officeDocument/2006/relationships/table" Target="../tables/table42.xml"/><Relationship Id="rId11" Type="http://schemas.openxmlformats.org/officeDocument/2006/relationships/table" Target="../tables/table24.xml"/><Relationship Id="rId24" Type="http://schemas.openxmlformats.org/officeDocument/2006/relationships/table" Target="../tables/table37.xml"/><Relationship Id="rId32" Type="http://schemas.openxmlformats.org/officeDocument/2006/relationships/table" Target="../tables/table45.xml"/><Relationship Id="rId37" Type="http://schemas.openxmlformats.org/officeDocument/2006/relationships/table" Target="../tables/table50.xml"/><Relationship Id="rId40" Type="http://schemas.openxmlformats.org/officeDocument/2006/relationships/table" Target="../tables/table53.xml"/><Relationship Id="rId45" Type="http://schemas.openxmlformats.org/officeDocument/2006/relationships/table" Target="../tables/table58.xml"/><Relationship Id="rId53" Type="http://schemas.openxmlformats.org/officeDocument/2006/relationships/table" Target="../tables/table66.xml"/><Relationship Id="rId58" Type="http://schemas.openxmlformats.org/officeDocument/2006/relationships/table" Target="../tables/table71.xml"/><Relationship Id="rId66" Type="http://schemas.openxmlformats.org/officeDocument/2006/relationships/table" Target="../tables/table79.xml"/><Relationship Id="rId5" Type="http://schemas.openxmlformats.org/officeDocument/2006/relationships/table" Target="../tables/table18.xml"/><Relationship Id="rId61" Type="http://schemas.openxmlformats.org/officeDocument/2006/relationships/table" Target="../tables/table74.xml"/><Relationship Id="rId19" Type="http://schemas.openxmlformats.org/officeDocument/2006/relationships/table" Target="../tables/table32.xml"/><Relationship Id="rId14" Type="http://schemas.openxmlformats.org/officeDocument/2006/relationships/table" Target="../tables/table27.xml"/><Relationship Id="rId22" Type="http://schemas.openxmlformats.org/officeDocument/2006/relationships/table" Target="../tables/table35.xml"/><Relationship Id="rId27" Type="http://schemas.openxmlformats.org/officeDocument/2006/relationships/table" Target="../tables/table40.xml"/><Relationship Id="rId30" Type="http://schemas.openxmlformats.org/officeDocument/2006/relationships/table" Target="../tables/table43.xml"/><Relationship Id="rId35" Type="http://schemas.openxmlformats.org/officeDocument/2006/relationships/table" Target="../tables/table48.xml"/><Relationship Id="rId43" Type="http://schemas.openxmlformats.org/officeDocument/2006/relationships/table" Target="../tables/table56.xml"/><Relationship Id="rId48" Type="http://schemas.openxmlformats.org/officeDocument/2006/relationships/table" Target="../tables/table61.xml"/><Relationship Id="rId56" Type="http://schemas.openxmlformats.org/officeDocument/2006/relationships/table" Target="../tables/table69.xml"/><Relationship Id="rId64" Type="http://schemas.openxmlformats.org/officeDocument/2006/relationships/table" Target="../tables/table77.xml"/><Relationship Id="rId8" Type="http://schemas.openxmlformats.org/officeDocument/2006/relationships/table" Target="../tables/table21.xml"/><Relationship Id="rId51" Type="http://schemas.openxmlformats.org/officeDocument/2006/relationships/table" Target="../tables/table64.xml"/><Relationship Id="rId3" Type="http://schemas.openxmlformats.org/officeDocument/2006/relationships/table" Target="../tables/table16.xml"/><Relationship Id="rId12" Type="http://schemas.openxmlformats.org/officeDocument/2006/relationships/table" Target="../tables/table25.xml"/><Relationship Id="rId17" Type="http://schemas.openxmlformats.org/officeDocument/2006/relationships/table" Target="../tables/table30.xml"/><Relationship Id="rId25" Type="http://schemas.openxmlformats.org/officeDocument/2006/relationships/table" Target="../tables/table38.xml"/><Relationship Id="rId33" Type="http://schemas.openxmlformats.org/officeDocument/2006/relationships/table" Target="../tables/table46.xml"/><Relationship Id="rId38" Type="http://schemas.openxmlformats.org/officeDocument/2006/relationships/table" Target="../tables/table51.xml"/><Relationship Id="rId46" Type="http://schemas.openxmlformats.org/officeDocument/2006/relationships/table" Target="../tables/table59.xml"/><Relationship Id="rId59" Type="http://schemas.openxmlformats.org/officeDocument/2006/relationships/table" Target="../tables/table72.xml"/><Relationship Id="rId67" Type="http://schemas.openxmlformats.org/officeDocument/2006/relationships/table" Target="../tables/table80.xml"/><Relationship Id="rId20" Type="http://schemas.openxmlformats.org/officeDocument/2006/relationships/table" Target="../tables/table33.xml"/><Relationship Id="rId41" Type="http://schemas.openxmlformats.org/officeDocument/2006/relationships/table" Target="../tables/table54.xml"/><Relationship Id="rId54" Type="http://schemas.openxmlformats.org/officeDocument/2006/relationships/table" Target="../tables/table67.xml"/><Relationship Id="rId62" Type="http://schemas.openxmlformats.org/officeDocument/2006/relationships/table" Target="../tables/table7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15" Type="http://schemas.openxmlformats.org/officeDocument/2006/relationships/table" Target="../tables/table28.xml"/><Relationship Id="rId23" Type="http://schemas.openxmlformats.org/officeDocument/2006/relationships/table" Target="../tables/table36.xml"/><Relationship Id="rId28" Type="http://schemas.openxmlformats.org/officeDocument/2006/relationships/table" Target="../tables/table41.xml"/><Relationship Id="rId36" Type="http://schemas.openxmlformats.org/officeDocument/2006/relationships/table" Target="../tables/table49.xml"/><Relationship Id="rId49" Type="http://schemas.openxmlformats.org/officeDocument/2006/relationships/table" Target="../tables/table62.xml"/><Relationship Id="rId57" Type="http://schemas.openxmlformats.org/officeDocument/2006/relationships/table" Target="../tables/table70.xml"/><Relationship Id="rId10" Type="http://schemas.openxmlformats.org/officeDocument/2006/relationships/table" Target="../tables/table23.xml"/><Relationship Id="rId31" Type="http://schemas.openxmlformats.org/officeDocument/2006/relationships/table" Target="../tables/table44.xml"/><Relationship Id="rId44" Type="http://schemas.openxmlformats.org/officeDocument/2006/relationships/table" Target="../tables/table57.xml"/><Relationship Id="rId52" Type="http://schemas.openxmlformats.org/officeDocument/2006/relationships/table" Target="../tables/table65.xml"/><Relationship Id="rId60" Type="http://schemas.openxmlformats.org/officeDocument/2006/relationships/table" Target="../tables/table73.xml"/><Relationship Id="rId65" Type="http://schemas.openxmlformats.org/officeDocument/2006/relationships/table" Target="../tables/table78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Relationship Id="rId13" Type="http://schemas.openxmlformats.org/officeDocument/2006/relationships/table" Target="../tables/table26.xml"/><Relationship Id="rId18" Type="http://schemas.openxmlformats.org/officeDocument/2006/relationships/table" Target="../tables/table31.xml"/><Relationship Id="rId39" Type="http://schemas.openxmlformats.org/officeDocument/2006/relationships/table" Target="../tables/table5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table" Target="../tables/table107.xml"/><Relationship Id="rId21" Type="http://schemas.openxmlformats.org/officeDocument/2006/relationships/table" Target="../tables/table102.xml"/><Relationship Id="rId42" Type="http://schemas.openxmlformats.org/officeDocument/2006/relationships/table" Target="../tables/table123.xml"/><Relationship Id="rId47" Type="http://schemas.openxmlformats.org/officeDocument/2006/relationships/table" Target="../tables/table128.xml"/><Relationship Id="rId63" Type="http://schemas.openxmlformats.org/officeDocument/2006/relationships/table" Target="../tables/table144.xml"/><Relationship Id="rId68" Type="http://schemas.openxmlformats.org/officeDocument/2006/relationships/table" Target="../tables/table149.xml"/><Relationship Id="rId84" Type="http://schemas.openxmlformats.org/officeDocument/2006/relationships/table" Target="../tables/table165.xml"/><Relationship Id="rId16" Type="http://schemas.openxmlformats.org/officeDocument/2006/relationships/table" Target="../tables/table97.xml"/><Relationship Id="rId11" Type="http://schemas.openxmlformats.org/officeDocument/2006/relationships/table" Target="../tables/table92.xml"/><Relationship Id="rId32" Type="http://schemas.openxmlformats.org/officeDocument/2006/relationships/table" Target="../tables/table113.xml"/><Relationship Id="rId37" Type="http://schemas.openxmlformats.org/officeDocument/2006/relationships/table" Target="../tables/table118.xml"/><Relationship Id="rId53" Type="http://schemas.openxmlformats.org/officeDocument/2006/relationships/table" Target="../tables/table134.xml"/><Relationship Id="rId58" Type="http://schemas.openxmlformats.org/officeDocument/2006/relationships/table" Target="../tables/table139.xml"/><Relationship Id="rId74" Type="http://schemas.openxmlformats.org/officeDocument/2006/relationships/table" Target="../tables/table155.xml"/><Relationship Id="rId79" Type="http://schemas.openxmlformats.org/officeDocument/2006/relationships/table" Target="../tables/table160.xml"/><Relationship Id="rId5" Type="http://schemas.openxmlformats.org/officeDocument/2006/relationships/table" Target="../tables/table86.xml"/><Relationship Id="rId19" Type="http://schemas.openxmlformats.org/officeDocument/2006/relationships/table" Target="../tables/table100.xml"/><Relationship Id="rId14" Type="http://schemas.openxmlformats.org/officeDocument/2006/relationships/table" Target="../tables/table95.xml"/><Relationship Id="rId22" Type="http://schemas.openxmlformats.org/officeDocument/2006/relationships/table" Target="../tables/table103.xml"/><Relationship Id="rId27" Type="http://schemas.openxmlformats.org/officeDocument/2006/relationships/table" Target="../tables/table108.xml"/><Relationship Id="rId30" Type="http://schemas.openxmlformats.org/officeDocument/2006/relationships/table" Target="../tables/table111.xml"/><Relationship Id="rId35" Type="http://schemas.openxmlformats.org/officeDocument/2006/relationships/table" Target="../tables/table116.xml"/><Relationship Id="rId43" Type="http://schemas.openxmlformats.org/officeDocument/2006/relationships/table" Target="../tables/table124.xml"/><Relationship Id="rId48" Type="http://schemas.openxmlformats.org/officeDocument/2006/relationships/table" Target="../tables/table129.xml"/><Relationship Id="rId56" Type="http://schemas.openxmlformats.org/officeDocument/2006/relationships/table" Target="../tables/table137.xml"/><Relationship Id="rId64" Type="http://schemas.openxmlformats.org/officeDocument/2006/relationships/table" Target="../tables/table145.xml"/><Relationship Id="rId69" Type="http://schemas.openxmlformats.org/officeDocument/2006/relationships/table" Target="../tables/table150.xml"/><Relationship Id="rId77" Type="http://schemas.openxmlformats.org/officeDocument/2006/relationships/table" Target="../tables/table158.xml"/><Relationship Id="rId8" Type="http://schemas.openxmlformats.org/officeDocument/2006/relationships/table" Target="../tables/table89.xml"/><Relationship Id="rId51" Type="http://schemas.openxmlformats.org/officeDocument/2006/relationships/table" Target="../tables/table132.xml"/><Relationship Id="rId72" Type="http://schemas.openxmlformats.org/officeDocument/2006/relationships/table" Target="../tables/table153.xml"/><Relationship Id="rId80" Type="http://schemas.openxmlformats.org/officeDocument/2006/relationships/table" Target="../tables/table161.xml"/><Relationship Id="rId85" Type="http://schemas.openxmlformats.org/officeDocument/2006/relationships/table" Target="../tables/table166.xml"/><Relationship Id="rId3" Type="http://schemas.openxmlformats.org/officeDocument/2006/relationships/table" Target="../tables/table84.xml"/><Relationship Id="rId12" Type="http://schemas.openxmlformats.org/officeDocument/2006/relationships/table" Target="../tables/table93.xml"/><Relationship Id="rId17" Type="http://schemas.openxmlformats.org/officeDocument/2006/relationships/table" Target="../tables/table98.xml"/><Relationship Id="rId25" Type="http://schemas.openxmlformats.org/officeDocument/2006/relationships/table" Target="../tables/table106.xml"/><Relationship Id="rId33" Type="http://schemas.openxmlformats.org/officeDocument/2006/relationships/table" Target="../tables/table114.xml"/><Relationship Id="rId38" Type="http://schemas.openxmlformats.org/officeDocument/2006/relationships/table" Target="../tables/table119.xml"/><Relationship Id="rId46" Type="http://schemas.openxmlformats.org/officeDocument/2006/relationships/table" Target="../tables/table127.xml"/><Relationship Id="rId59" Type="http://schemas.openxmlformats.org/officeDocument/2006/relationships/table" Target="../tables/table140.xml"/><Relationship Id="rId67" Type="http://schemas.openxmlformats.org/officeDocument/2006/relationships/table" Target="../tables/table148.xml"/><Relationship Id="rId20" Type="http://schemas.openxmlformats.org/officeDocument/2006/relationships/table" Target="../tables/table101.xml"/><Relationship Id="rId41" Type="http://schemas.openxmlformats.org/officeDocument/2006/relationships/table" Target="../tables/table122.xml"/><Relationship Id="rId54" Type="http://schemas.openxmlformats.org/officeDocument/2006/relationships/table" Target="../tables/table135.xml"/><Relationship Id="rId62" Type="http://schemas.openxmlformats.org/officeDocument/2006/relationships/table" Target="../tables/table143.xml"/><Relationship Id="rId70" Type="http://schemas.openxmlformats.org/officeDocument/2006/relationships/table" Target="../tables/table151.xml"/><Relationship Id="rId75" Type="http://schemas.openxmlformats.org/officeDocument/2006/relationships/table" Target="../tables/table156.xml"/><Relationship Id="rId83" Type="http://schemas.openxmlformats.org/officeDocument/2006/relationships/table" Target="../tables/table164.xml"/><Relationship Id="rId1" Type="http://schemas.openxmlformats.org/officeDocument/2006/relationships/table" Target="../tables/table82.xml"/><Relationship Id="rId6" Type="http://schemas.openxmlformats.org/officeDocument/2006/relationships/table" Target="../tables/table87.xml"/><Relationship Id="rId15" Type="http://schemas.openxmlformats.org/officeDocument/2006/relationships/table" Target="../tables/table96.xml"/><Relationship Id="rId23" Type="http://schemas.openxmlformats.org/officeDocument/2006/relationships/table" Target="../tables/table104.xml"/><Relationship Id="rId28" Type="http://schemas.openxmlformats.org/officeDocument/2006/relationships/table" Target="../tables/table109.xml"/><Relationship Id="rId36" Type="http://schemas.openxmlformats.org/officeDocument/2006/relationships/table" Target="../tables/table117.xml"/><Relationship Id="rId49" Type="http://schemas.openxmlformats.org/officeDocument/2006/relationships/table" Target="../tables/table130.xml"/><Relationship Id="rId57" Type="http://schemas.openxmlformats.org/officeDocument/2006/relationships/table" Target="../tables/table138.xml"/><Relationship Id="rId10" Type="http://schemas.openxmlformats.org/officeDocument/2006/relationships/table" Target="../tables/table91.xml"/><Relationship Id="rId31" Type="http://schemas.openxmlformats.org/officeDocument/2006/relationships/table" Target="../tables/table112.xml"/><Relationship Id="rId44" Type="http://schemas.openxmlformats.org/officeDocument/2006/relationships/table" Target="../tables/table125.xml"/><Relationship Id="rId52" Type="http://schemas.openxmlformats.org/officeDocument/2006/relationships/table" Target="../tables/table133.xml"/><Relationship Id="rId60" Type="http://schemas.openxmlformats.org/officeDocument/2006/relationships/table" Target="../tables/table141.xml"/><Relationship Id="rId65" Type="http://schemas.openxmlformats.org/officeDocument/2006/relationships/table" Target="../tables/table146.xml"/><Relationship Id="rId73" Type="http://schemas.openxmlformats.org/officeDocument/2006/relationships/table" Target="../tables/table154.xml"/><Relationship Id="rId78" Type="http://schemas.openxmlformats.org/officeDocument/2006/relationships/table" Target="../tables/table159.xml"/><Relationship Id="rId81" Type="http://schemas.openxmlformats.org/officeDocument/2006/relationships/table" Target="../tables/table162.xml"/><Relationship Id="rId4" Type="http://schemas.openxmlformats.org/officeDocument/2006/relationships/table" Target="../tables/table85.xml"/><Relationship Id="rId9" Type="http://schemas.openxmlformats.org/officeDocument/2006/relationships/table" Target="../tables/table90.xml"/><Relationship Id="rId13" Type="http://schemas.openxmlformats.org/officeDocument/2006/relationships/table" Target="../tables/table94.xml"/><Relationship Id="rId18" Type="http://schemas.openxmlformats.org/officeDocument/2006/relationships/table" Target="../tables/table99.xml"/><Relationship Id="rId39" Type="http://schemas.openxmlformats.org/officeDocument/2006/relationships/table" Target="../tables/table120.xml"/><Relationship Id="rId34" Type="http://schemas.openxmlformats.org/officeDocument/2006/relationships/table" Target="../tables/table115.xml"/><Relationship Id="rId50" Type="http://schemas.openxmlformats.org/officeDocument/2006/relationships/table" Target="../tables/table131.xml"/><Relationship Id="rId55" Type="http://schemas.openxmlformats.org/officeDocument/2006/relationships/table" Target="../tables/table136.xml"/><Relationship Id="rId76" Type="http://schemas.openxmlformats.org/officeDocument/2006/relationships/table" Target="../tables/table157.xml"/><Relationship Id="rId7" Type="http://schemas.openxmlformats.org/officeDocument/2006/relationships/table" Target="../tables/table88.xml"/><Relationship Id="rId71" Type="http://schemas.openxmlformats.org/officeDocument/2006/relationships/table" Target="../tables/table152.xml"/><Relationship Id="rId2" Type="http://schemas.openxmlformats.org/officeDocument/2006/relationships/table" Target="../tables/table83.xml"/><Relationship Id="rId29" Type="http://schemas.openxmlformats.org/officeDocument/2006/relationships/table" Target="../tables/table110.xml"/><Relationship Id="rId24" Type="http://schemas.openxmlformats.org/officeDocument/2006/relationships/table" Target="../tables/table105.xml"/><Relationship Id="rId40" Type="http://schemas.openxmlformats.org/officeDocument/2006/relationships/table" Target="../tables/table121.xml"/><Relationship Id="rId45" Type="http://schemas.openxmlformats.org/officeDocument/2006/relationships/table" Target="../tables/table126.xml"/><Relationship Id="rId66" Type="http://schemas.openxmlformats.org/officeDocument/2006/relationships/table" Target="../tables/table147.xml"/><Relationship Id="rId61" Type="http://schemas.openxmlformats.org/officeDocument/2006/relationships/table" Target="../tables/table142.xml"/><Relationship Id="rId82" Type="http://schemas.openxmlformats.org/officeDocument/2006/relationships/table" Target="../tables/table1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tabSelected="1" topLeftCell="K1" workbookViewId="0"/>
  </sheetViews>
  <sheetFormatPr baseColWidth="10" defaultColWidth="12.6640625" defaultRowHeight="15.75" customHeight="1" x14ac:dyDescent="0.25"/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.75" customHeight="1" x14ac:dyDescent="0.3">
      <c r="A2" s="2" t="s">
        <v>26</v>
      </c>
      <c r="B2" s="2" t="s">
        <v>27</v>
      </c>
      <c r="C2" s="3">
        <v>1</v>
      </c>
      <c r="D2" s="4" t="s">
        <v>28</v>
      </c>
      <c r="E2" s="2" t="s">
        <v>29</v>
      </c>
      <c r="F2" s="4" t="s">
        <v>30</v>
      </c>
      <c r="G2" s="5" t="s">
        <v>31</v>
      </c>
      <c r="H2" s="5" t="s">
        <v>32</v>
      </c>
      <c r="I2" s="5" t="s">
        <v>33</v>
      </c>
      <c r="J2" s="6">
        <v>1087095</v>
      </c>
      <c r="K2" s="5" t="s">
        <v>34</v>
      </c>
      <c r="L2" s="5" t="s">
        <v>35</v>
      </c>
      <c r="M2" s="5" t="s">
        <v>36</v>
      </c>
      <c r="N2" s="6">
        <v>6207</v>
      </c>
      <c r="O2" s="5" t="s">
        <v>37</v>
      </c>
      <c r="P2" s="6">
        <v>0</v>
      </c>
      <c r="Q2" s="7">
        <v>15382906</v>
      </c>
      <c r="R2" s="7">
        <f t="shared" ref="R2:R101" si="0">SUM(Q2/27)</f>
        <v>569737.25925925921</v>
      </c>
      <c r="S2" s="7">
        <v>803</v>
      </c>
      <c r="T2" s="7">
        <v>14</v>
      </c>
      <c r="U2" s="7">
        <f t="shared" ref="U2:U101" si="1">SUM(J2,N2,P2)</f>
        <v>1093302</v>
      </c>
      <c r="V2" s="7">
        <f t="shared" ref="V2:V101" si="2">SUM(R2,U2)</f>
        <v>1663039.2592592593</v>
      </c>
      <c r="W2" s="8">
        <f t="shared" ref="W2:W101" si="3">SUM(R2/V2)</f>
        <v>0.34258797925974882</v>
      </c>
      <c r="X2" s="5" t="s">
        <v>38</v>
      </c>
      <c r="Y2" s="5" t="s">
        <v>39</v>
      </c>
      <c r="Z2" s="5" t="s">
        <v>40</v>
      </c>
    </row>
    <row r="3" spans="1:26" ht="15.75" customHeight="1" x14ac:dyDescent="0.3">
      <c r="A3" s="9" t="s">
        <v>26</v>
      </c>
      <c r="B3" s="9" t="s">
        <v>41</v>
      </c>
      <c r="C3" s="10">
        <v>2</v>
      </c>
      <c r="D3" s="4" t="s">
        <v>42</v>
      </c>
      <c r="E3" s="9" t="s">
        <v>43</v>
      </c>
      <c r="F3" s="9" t="s">
        <v>44</v>
      </c>
      <c r="G3" s="11" t="s">
        <v>31</v>
      </c>
      <c r="H3" s="11" t="s">
        <v>45</v>
      </c>
      <c r="I3" s="11" t="s">
        <v>46</v>
      </c>
      <c r="J3" s="12">
        <v>1359914</v>
      </c>
      <c r="K3" s="11" t="s">
        <v>47</v>
      </c>
      <c r="L3" s="11" t="s">
        <v>31</v>
      </c>
      <c r="M3" s="11" t="s">
        <v>31</v>
      </c>
      <c r="N3" s="12">
        <v>0</v>
      </c>
      <c r="O3" s="11" t="s">
        <v>31</v>
      </c>
      <c r="P3" s="12">
        <v>0</v>
      </c>
      <c r="Q3" s="13">
        <v>5835252</v>
      </c>
      <c r="R3" s="13">
        <f t="shared" si="0"/>
        <v>216120.44444444444</v>
      </c>
      <c r="S3" s="13">
        <v>345</v>
      </c>
      <c r="T3" s="13">
        <v>43</v>
      </c>
      <c r="U3" s="13">
        <f t="shared" si="1"/>
        <v>1359914</v>
      </c>
      <c r="V3" s="13">
        <f t="shared" si="2"/>
        <v>1576034.4444444445</v>
      </c>
      <c r="W3" s="14">
        <f t="shared" si="3"/>
        <v>0.13712926465933131</v>
      </c>
      <c r="X3" s="11" t="s">
        <v>48</v>
      </c>
      <c r="Y3" s="11" t="s">
        <v>39</v>
      </c>
      <c r="Z3" s="11" t="s">
        <v>49</v>
      </c>
    </row>
    <row r="4" spans="1:26" ht="15.75" customHeight="1" x14ac:dyDescent="0.3">
      <c r="A4" s="2" t="s">
        <v>26</v>
      </c>
      <c r="B4" s="2" t="s">
        <v>50</v>
      </c>
      <c r="C4" s="3">
        <v>3</v>
      </c>
      <c r="D4" s="4" t="s">
        <v>51</v>
      </c>
      <c r="E4" s="2" t="s">
        <v>52</v>
      </c>
      <c r="F4" s="2" t="s">
        <v>53</v>
      </c>
      <c r="G4" s="5" t="s">
        <v>31</v>
      </c>
      <c r="H4" s="5" t="s">
        <v>54</v>
      </c>
      <c r="I4" s="5" t="s">
        <v>55</v>
      </c>
      <c r="J4" s="6">
        <v>956978</v>
      </c>
      <c r="K4" s="5" t="s">
        <v>56</v>
      </c>
      <c r="L4" s="5" t="s">
        <v>57</v>
      </c>
      <c r="M4" s="5" t="s">
        <v>58</v>
      </c>
      <c r="N4" s="6">
        <v>8809</v>
      </c>
      <c r="O4" s="5" t="s">
        <v>59</v>
      </c>
      <c r="P4" s="6">
        <v>0</v>
      </c>
      <c r="Q4" s="7">
        <v>14780664</v>
      </c>
      <c r="R4" s="7">
        <f t="shared" si="0"/>
        <v>547432</v>
      </c>
      <c r="S4" s="7">
        <v>673</v>
      </c>
      <c r="T4" s="7">
        <v>16</v>
      </c>
      <c r="U4" s="7">
        <f t="shared" si="1"/>
        <v>965787</v>
      </c>
      <c r="V4" s="7">
        <f t="shared" si="2"/>
        <v>1513219</v>
      </c>
      <c r="W4" s="8">
        <f t="shared" si="3"/>
        <v>0.36176653874951348</v>
      </c>
      <c r="X4" s="5" t="s">
        <v>60</v>
      </c>
      <c r="Y4" s="5" t="s">
        <v>39</v>
      </c>
      <c r="Z4" s="5" t="s">
        <v>61</v>
      </c>
    </row>
    <row r="5" spans="1:26" ht="15.75" customHeight="1" x14ac:dyDescent="0.3">
      <c r="A5" s="9" t="s">
        <v>26</v>
      </c>
      <c r="B5" s="9" t="s">
        <v>62</v>
      </c>
      <c r="C5" s="10">
        <v>4</v>
      </c>
      <c r="D5" s="4" t="s">
        <v>63</v>
      </c>
      <c r="E5" s="9" t="s">
        <v>64</v>
      </c>
      <c r="F5" s="9" t="s">
        <v>65</v>
      </c>
      <c r="G5" s="11" t="s">
        <v>31</v>
      </c>
      <c r="H5" s="11" t="s">
        <v>66</v>
      </c>
      <c r="I5" s="11" t="s">
        <v>67</v>
      </c>
      <c r="J5" s="12">
        <v>674831</v>
      </c>
      <c r="K5" s="11" t="s">
        <v>68</v>
      </c>
      <c r="L5" s="11" t="s">
        <v>31</v>
      </c>
      <c r="M5" s="11" t="s">
        <v>31</v>
      </c>
      <c r="N5" s="12">
        <v>0</v>
      </c>
      <c r="O5" s="11" t="s">
        <v>31</v>
      </c>
      <c r="P5" s="12">
        <v>0</v>
      </c>
      <c r="Q5" s="13">
        <v>21202195</v>
      </c>
      <c r="R5" s="13">
        <f t="shared" si="0"/>
        <v>785266.48148148146</v>
      </c>
      <c r="S5" s="13">
        <v>1062</v>
      </c>
      <c r="T5" s="13">
        <v>6</v>
      </c>
      <c r="U5" s="13">
        <f t="shared" si="1"/>
        <v>674831</v>
      </c>
      <c r="V5" s="13">
        <f t="shared" si="2"/>
        <v>1460097.4814814813</v>
      </c>
      <c r="W5" s="14">
        <f t="shared" si="3"/>
        <v>0.53781784534325361</v>
      </c>
      <c r="X5" s="11" t="s">
        <v>69</v>
      </c>
      <c r="Y5" s="11" t="s">
        <v>39</v>
      </c>
      <c r="Z5" s="11" t="s">
        <v>70</v>
      </c>
    </row>
    <row r="6" spans="1:26" ht="15.75" customHeight="1" x14ac:dyDescent="0.3">
      <c r="A6" s="2" t="s">
        <v>26</v>
      </c>
      <c r="B6" s="2" t="s">
        <v>71</v>
      </c>
      <c r="C6" s="3">
        <v>5</v>
      </c>
      <c r="D6" s="4" t="s">
        <v>72</v>
      </c>
      <c r="E6" s="2" t="s">
        <v>73</v>
      </c>
      <c r="F6" s="4" t="s">
        <v>74</v>
      </c>
      <c r="G6" s="5" t="s">
        <v>31</v>
      </c>
      <c r="H6" s="5" t="s">
        <v>75</v>
      </c>
      <c r="I6" s="5" t="s">
        <v>76</v>
      </c>
      <c r="J6" s="6">
        <v>721231</v>
      </c>
      <c r="K6" s="5" t="s">
        <v>77</v>
      </c>
      <c r="L6" s="5" t="s">
        <v>78</v>
      </c>
      <c r="M6" s="5" t="s">
        <v>79</v>
      </c>
      <c r="N6" s="6">
        <v>13430</v>
      </c>
      <c r="O6" s="5" t="s">
        <v>80</v>
      </c>
      <c r="P6" s="6">
        <v>0</v>
      </c>
      <c r="Q6" s="7">
        <v>16796831</v>
      </c>
      <c r="R6" s="7">
        <f t="shared" si="0"/>
        <v>622104.8518518518</v>
      </c>
      <c r="S6" s="7">
        <v>751</v>
      </c>
      <c r="T6" s="7">
        <v>13</v>
      </c>
      <c r="U6" s="7">
        <f t="shared" si="1"/>
        <v>734661</v>
      </c>
      <c r="V6" s="7">
        <f t="shared" si="2"/>
        <v>1356765.8518518517</v>
      </c>
      <c r="W6" s="8">
        <f t="shared" si="3"/>
        <v>0.4585204226674337</v>
      </c>
      <c r="X6" s="5" t="s">
        <v>81</v>
      </c>
      <c r="Y6" s="5" t="s">
        <v>39</v>
      </c>
      <c r="Z6" s="5" t="s">
        <v>82</v>
      </c>
    </row>
    <row r="7" spans="1:26" ht="15.75" customHeight="1" x14ac:dyDescent="0.3">
      <c r="A7" s="9" t="s">
        <v>26</v>
      </c>
      <c r="B7" s="9" t="s">
        <v>83</v>
      </c>
      <c r="C7" s="10">
        <v>6</v>
      </c>
      <c r="D7" s="4" t="s">
        <v>84</v>
      </c>
      <c r="E7" s="9" t="s">
        <v>85</v>
      </c>
      <c r="F7" s="9" t="s">
        <v>86</v>
      </c>
      <c r="G7" s="11" t="s">
        <v>31</v>
      </c>
      <c r="H7" s="11" t="s">
        <v>87</v>
      </c>
      <c r="I7" s="11" t="s">
        <v>88</v>
      </c>
      <c r="J7" s="12">
        <v>717869</v>
      </c>
      <c r="K7" s="11" t="s">
        <v>89</v>
      </c>
      <c r="L7" s="11" t="s">
        <v>90</v>
      </c>
      <c r="M7" s="11" t="s">
        <v>91</v>
      </c>
      <c r="N7" s="12">
        <v>18244</v>
      </c>
      <c r="O7" s="11" t="s">
        <v>92</v>
      </c>
      <c r="P7" s="12">
        <v>0</v>
      </c>
      <c r="Q7" s="13">
        <v>13866625</v>
      </c>
      <c r="R7" s="13">
        <f t="shared" si="0"/>
        <v>513578.70370370371</v>
      </c>
      <c r="S7" s="13">
        <v>830</v>
      </c>
      <c r="T7" s="13">
        <v>18</v>
      </c>
      <c r="U7" s="13">
        <f t="shared" si="1"/>
        <v>736113</v>
      </c>
      <c r="V7" s="13">
        <f t="shared" si="2"/>
        <v>1249691.7037037038</v>
      </c>
      <c r="W7" s="14">
        <f t="shared" si="3"/>
        <v>0.4109643219856654</v>
      </c>
      <c r="X7" s="11" t="s">
        <v>93</v>
      </c>
      <c r="Y7" s="11" t="s">
        <v>39</v>
      </c>
      <c r="Z7" s="11" t="s">
        <v>94</v>
      </c>
    </row>
    <row r="8" spans="1:26" ht="15.75" customHeight="1" x14ac:dyDescent="0.3">
      <c r="A8" s="2" t="s">
        <v>26</v>
      </c>
      <c r="B8" s="2" t="s">
        <v>95</v>
      </c>
      <c r="C8" s="3">
        <v>7</v>
      </c>
      <c r="D8" s="4" t="s">
        <v>96</v>
      </c>
      <c r="E8" s="2" t="s">
        <v>97</v>
      </c>
      <c r="F8" s="4" t="s">
        <v>98</v>
      </c>
      <c r="G8" s="5" t="s">
        <v>31</v>
      </c>
      <c r="H8" s="5" t="s">
        <v>99</v>
      </c>
      <c r="I8" s="5" t="s">
        <v>100</v>
      </c>
      <c r="J8" s="6">
        <v>917208</v>
      </c>
      <c r="K8" s="5" t="s">
        <v>101</v>
      </c>
      <c r="L8" s="5" t="s">
        <v>31</v>
      </c>
      <c r="M8" s="5" t="s">
        <v>31</v>
      </c>
      <c r="N8" s="6">
        <v>0</v>
      </c>
      <c r="O8" s="5" t="s">
        <v>31</v>
      </c>
      <c r="P8" s="6">
        <v>0</v>
      </c>
      <c r="Q8" s="7">
        <v>6561268</v>
      </c>
      <c r="R8" s="7">
        <f t="shared" si="0"/>
        <v>243009.92592592593</v>
      </c>
      <c r="S8" s="7">
        <v>373</v>
      </c>
      <c r="T8" s="7">
        <v>39</v>
      </c>
      <c r="U8" s="7">
        <f t="shared" si="1"/>
        <v>917208</v>
      </c>
      <c r="V8" s="7">
        <f t="shared" si="2"/>
        <v>1160217.9259259258</v>
      </c>
      <c r="W8" s="8">
        <f t="shared" si="3"/>
        <v>0.20945196630364846</v>
      </c>
      <c r="X8" s="5" t="s">
        <v>102</v>
      </c>
      <c r="Y8" s="5" t="s">
        <v>39</v>
      </c>
      <c r="Z8" s="5"/>
    </row>
    <row r="9" spans="1:26" ht="15.75" customHeight="1" x14ac:dyDescent="0.3">
      <c r="A9" s="9" t="s">
        <v>26</v>
      </c>
      <c r="B9" s="9" t="s">
        <v>103</v>
      </c>
      <c r="C9" s="10">
        <v>8</v>
      </c>
      <c r="D9" s="4" t="s">
        <v>104</v>
      </c>
      <c r="E9" s="9" t="s">
        <v>105</v>
      </c>
      <c r="F9" s="4" t="s">
        <v>106</v>
      </c>
      <c r="G9" s="11" t="s">
        <v>31</v>
      </c>
      <c r="H9" s="11" t="s">
        <v>107</v>
      </c>
      <c r="I9" s="11" t="s">
        <v>108</v>
      </c>
      <c r="J9" s="12">
        <v>383472</v>
      </c>
      <c r="K9" s="11" t="s">
        <v>109</v>
      </c>
      <c r="L9" s="11" t="s">
        <v>110</v>
      </c>
      <c r="M9" s="11" t="s">
        <v>111</v>
      </c>
      <c r="N9" s="12">
        <v>21813</v>
      </c>
      <c r="O9" s="11" t="s">
        <v>112</v>
      </c>
      <c r="P9" s="12">
        <v>0</v>
      </c>
      <c r="Q9" s="13">
        <v>18379440</v>
      </c>
      <c r="R9" s="13">
        <f t="shared" si="0"/>
        <v>680720</v>
      </c>
      <c r="S9" s="13">
        <v>805</v>
      </c>
      <c r="T9" s="13">
        <v>10</v>
      </c>
      <c r="U9" s="13">
        <f t="shared" si="1"/>
        <v>405285</v>
      </c>
      <c r="V9" s="13">
        <f t="shared" si="2"/>
        <v>1086005</v>
      </c>
      <c r="W9" s="14">
        <f t="shared" si="3"/>
        <v>0.62681111044608451</v>
      </c>
      <c r="X9" s="11" t="s">
        <v>113</v>
      </c>
      <c r="Y9" s="11" t="s">
        <v>39</v>
      </c>
      <c r="Z9" s="11" t="s">
        <v>114</v>
      </c>
    </row>
    <row r="10" spans="1:26" ht="15.75" customHeight="1" x14ac:dyDescent="0.3">
      <c r="A10" s="2" t="s">
        <v>26</v>
      </c>
      <c r="B10" s="2" t="s">
        <v>115</v>
      </c>
      <c r="C10" s="3">
        <v>9</v>
      </c>
      <c r="D10" s="4" t="s">
        <v>116</v>
      </c>
      <c r="E10" s="2" t="s">
        <v>117</v>
      </c>
      <c r="F10" s="4" t="s">
        <v>118</v>
      </c>
      <c r="G10" s="5" t="s">
        <v>31</v>
      </c>
      <c r="H10" s="5" t="s">
        <v>119</v>
      </c>
      <c r="I10" s="5" t="s">
        <v>120</v>
      </c>
      <c r="J10" s="6">
        <v>777552</v>
      </c>
      <c r="K10" s="5" t="s">
        <v>121</v>
      </c>
      <c r="L10" s="5" t="s">
        <v>122</v>
      </c>
      <c r="M10" s="5" t="s">
        <v>123</v>
      </c>
      <c r="N10" s="6">
        <v>13883</v>
      </c>
      <c r="O10" s="5" t="s">
        <v>124</v>
      </c>
      <c r="P10" s="6">
        <v>0</v>
      </c>
      <c r="Q10" s="7">
        <v>7316748</v>
      </c>
      <c r="R10" s="7">
        <f t="shared" si="0"/>
        <v>270990.66666666669</v>
      </c>
      <c r="S10" s="7">
        <v>466</v>
      </c>
      <c r="T10" s="7">
        <v>34</v>
      </c>
      <c r="U10" s="7">
        <f t="shared" si="1"/>
        <v>791435</v>
      </c>
      <c r="V10" s="7">
        <f t="shared" si="2"/>
        <v>1062425.6666666667</v>
      </c>
      <c r="W10" s="8">
        <f t="shared" si="3"/>
        <v>0.25506788396490171</v>
      </c>
      <c r="X10" s="5" t="s">
        <v>125</v>
      </c>
      <c r="Y10" s="5" t="s">
        <v>39</v>
      </c>
      <c r="Z10" s="5" t="s">
        <v>126</v>
      </c>
    </row>
    <row r="11" spans="1:26" ht="15.75" customHeight="1" x14ac:dyDescent="0.3">
      <c r="A11" s="9" t="s">
        <v>26</v>
      </c>
      <c r="B11" s="9" t="s">
        <v>127</v>
      </c>
      <c r="C11" s="10">
        <v>10</v>
      </c>
      <c r="D11" s="4" t="s">
        <v>128</v>
      </c>
      <c r="E11" s="9" t="s">
        <v>129</v>
      </c>
      <c r="F11" s="9" t="s">
        <v>130</v>
      </c>
      <c r="G11" s="11" t="s">
        <v>31</v>
      </c>
      <c r="H11" s="11" t="s">
        <v>131</v>
      </c>
      <c r="I11" s="11" t="s">
        <v>132</v>
      </c>
      <c r="J11" s="12">
        <v>102116</v>
      </c>
      <c r="K11" s="11" t="s">
        <v>133</v>
      </c>
      <c r="L11" s="11" t="s">
        <v>31</v>
      </c>
      <c r="M11" s="11" t="s">
        <v>31</v>
      </c>
      <c r="N11" s="12">
        <v>0</v>
      </c>
      <c r="O11" s="11" t="s">
        <v>31</v>
      </c>
      <c r="P11" s="12">
        <v>0</v>
      </c>
      <c r="Q11" s="15">
        <f>IFERROR(VLOOKUP(F11,'[1]Colombia Radio'!$C$2:$E$97118,2,0),0)</f>
        <v>0</v>
      </c>
      <c r="R11" s="15">
        <f t="shared" si="0"/>
        <v>0</v>
      </c>
      <c r="S11" s="15">
        <f>IFERROR(VLOOKUP(F11,'[1]Colombia Radio'!$C$2:$E$69000,3,0),0)</f>
        <v>0</v>
      </c>
      <c r="T11" s="15">
        <f>IFERROR(VLOOKUP(F11,'[1]Colombia Radio'!$C$2:$F$69000,4,0),0)</f>
        <v>0</v>
      </c>
      <c r="U11" s="15">
        <f t="shared" si="1"/>
        <v>102116</v>
      </c>
      <c r="V11" s="15">
        <f t="shared" si="2"/>
        <v>102116</v>
      </c>
      <c r="W11" s="16">
        <f t="shared" si="3"/>
        <v>0</v>
      </c>
      <c r="X11" s="11" t="s">
        <v>134</v>
      </c>
      <c r="Y11" s="11" t="s">
        <v>39</v>
      </c>
      <c r="Z11" s="11"/>
    </row>
    <row r="12" spans="1:26" ht="15.75" customHeight="1" x14ac:dyDescent="0.3">
      <c r="A12" s="9" t="s">
        <v>26</v>
      </c>
      <c r="B12" s="9" t="s">
        <v>135</v>
      </c>
      <c r="C12" s="3">
        <v>11</v>
      </c>
      <c r="D12" s="4" t="s">
        <v>136</v>
      </c>
      <c r="E12" s="9" t="s">
        <v>137</v>
      </c>
      <c r="F12" s="9" t="s">
        <v>138</v>
      </c>
      <c r="G12" s="11" t="s">
        <v>31</v>
      </c>
      <c r="H12" s="11" t="s">
        <v>139</v>
      </c>
      <c r="I12" s="11" t="s">
        <v>140</v>
      </c>
      <c r="J12" s="12">
        <v>466564</v>
      </c>
      <c r="K12" s="11" t="s">
        <v>141</v>
      </c>
      <c r="L12" s="11" t="s">
        <v>142</v>
      </c>
      <c r="M12" s="11" t="s">
        <v>143</v>
      </c>
      <c r="N12" s="12">
        <v>33858</v>
      </c>
      <c r="O12" s="11" t="s">
        <v>144</v>
      </c>
      <c r="P12" s="12">
        <v>0</v>
      </c>
      <c r="Q12" s="13">
        <v>14193715</v>
      </c>
      <c r="R12" s="13">
        <f t="shared" si="0"/>
        <v>525693.1481481482</v>
      </c>
      <c r="S12" s="13">
        <v>705</v>
      </c>
      <c r="T12" s="13">
        <v>17</v>
      </c>
      <c r="U12" s="13">
        <f t="shared" si="1"/>
        <v>500422</v>
      </c>
      <c r="V12" s="13">
        <f t="shared" si="2"/>
        <v>1026115.1481481482</v>
      </c>
      <c r="W12" s="14">
        <f t="shared" si="3"/>
        <v>0.51231399233982444</v>
      </c>
      <c r="X12" s="11" t="s">
        <v>145</v>
      </c>
      <c r="Y12" s="11" t="s">
        <v>39</v>
      </c>
      <c r="Z12" s="11" t="s">
        <v>146</v>
      </c>
    </row>
    <row r="13" spans="1:26" ht="15.75" customHeight="1" x14ac:dyDescent="0.3">
      <c r="A13" s="2" t="s">
        <v>26</v>
      </c>
      <c r="B13" s="2" t="s">
        <v>147</v>
      </c>
      <c r="C13" s="10">
        <v>12</v>
      </c>
      <c r="D13" s="4" t="s">
        <v>148</v>
      </c>
      <c r="E13" s="2" t="s">
        <v>149</v>
      </c>
      <c r="F13" s="2" t="s">
        <v>150</v>
      </c>
      <c r="G13" s="5" t="s">
        <v>31</v>
      </c>
      <c r="H13" s="5" t="s">
        <v>151</v>
      </c>
      <c r="I13" s="5" t="s">
        <v>152</v>
      </c>
      <c r="J13" s="6">
        <v>426334</v>
      </c>
      <c r="K13" s="5" t="s">
        <v>153</v>
      </c>
      <c r="L13" s="5" t="s">
        <v>154</v>
      </c>
      <c r="M13" s="5" t="s">
        <v>155</v>
      </c>
      <c r="N13" s="6">
        <v>7837</v>
      </c>
      <c r="O13" s="5" t="s">
        <v>156</v>
      </c>
      <c r="P13" s="6">
        <v>0</v>
      </c>
      <c r="Q13" s="7">
        <v>15010192</v>
      </c>
      <c r="R13" s="7">
        <f t="shared" si="0"/>
        <v>555933.03703703708</v>
      </c>
      <c r="S13" s="7">
        <v>912</v>
      </c>
      <c r="T13" s="7">
        <v>15</v>
      </c>
      <c r="U13" s="7">
        <f t="shared" si="1"/>
        <v>434171</v>
      </c>
      <c r="V13" s="7">
        <f t="shared" si="2"/>
        <v>990104.03703703708</v>
      </c>
      <c r="W13" s="8">
        <f t="shared" si="3"/>
        <v>0.56148951649637724</v>
      </c>
      <c r="X13" s="5" t="s">
        <v>157</v>
      </c>
      <c r="Y13" s="5" t="s">
        <v>39</v>
      </c>
      <c r="Z13" s="5" t="s">
        <v>158</v>
      </c>
    </row>
    <row r="14" spans="1:26" ht="15.75" customHeight="1" x14ac:dyDescent="0.3">
      <c r="A14" s="9" t="s">
        <v>26</v>
      </c>
      <c r="B14" s="9" t="s">
        <v>159</v>
      </c>
      <c r="C14" s="3">
        <v>13</v>
      </c>
      <c r="D14" s="4" t="s">
        <v>160</v>
      </c>
      <c r="E14" s="9" t="s">
        <v>161</v>
      </c>
      <c r="F14" s="9" t="s">
        <v>162</v>
      </c>
      <c r="G14" s="11" t="s">
        <v>31</v>
      </c>
      <c r="H14" s="11" t="s">
        <v>163</v>
      </c>
      <c r="I14" s="11" t="s">
        <v>164</v>
      </c>
      <c r="J14" s="12">
        <v>514838</v>
      </c>
      <c r="K14" s="11" t="s">
        <v>165</v>
      </c>
      <c r="L14" s="11" t="s">
        <v>31</v>
      </c>
      <c r="M14" s="11" t="s">
        <v>31</v>
      </c>
      <c r="N14" s="12">
        <v>0</v>
      </c>
      <c r="O14" s="11" t="s">
        <v>31</v>
      </c>
      <c r="P14" s="12">
        <v>0</v>
      </c>
      <c r="Q14" s="13">
        <v>12679425</v>
      </c>
      <c r="R14" s="13">
        <f t="shared" si="0"/>
        <v>469608.33333333331</v>
      </c>
      <c r="S14" s="13">
        <v>679</v>
      </c>
      <c r="T14" s="13">
        <v>20</v>
      </c>
      <c r="U14" s="13">
        <f t="shared" si="1"/>
        <v>514838</v>
      </c>
      <c r="V14" s="13">
        <f t="shared" si="2"/>
        <v>984446.33333333326</v>
      </c>
      <c r="W14" s="14">
        <f t="shared" si="3"/>
        <v>0.47702786574788741</v>
      </c>
      <c r="X14" s="11" t="s">
        <v>166</v>
      </c>
      <c r="Y14" s="11" t="s">
        <v>39</v>
      </c>
      <c r="Z14" s="11" t="s">
        <v>167</v>
      </c>
    </row>
    <row r="15" spans="1:26" ht="15.75" customHeight="1" x14ac:dyDescent="0.3">
      <c r="A15" s="2" t="s">
        <v>26</v>
      </c>
      <c r="B15" s="2" t="s">
        <v>168</v>
      </c>
      <c r="C15" s="10">
        <v>14</v>
      </c>
      <c r="D15" s="4" t="s">
        <v>169</v>
      </c>
      <c r="E15" s="2" t="s">
        <v>29</v>
      </c>
      <c r="F15" s="4" t="s">
        <v>170</v>
      </c>
      <c r="G15" s="5" t="s">
        <v>31</v>
      </c>
      <c r="H15" s="5" t="s">
        <v>171</v>
      </c>
      <c r="I15" s="5" t="s">
        <v>172</v>
      </c>
      <c r="J15" s="6">
        <v>574050</v>
      </c>
      <c r="K15" s="5" t="s">
        <v>173</v>
      </c>
      <c r="L15" s="5" t="s">
        <v>174</v>
      </c>
      <c r="M15" s="5" t="s">
        <v>175</v>
      </c>
      <c r="N15" s="6">
        <v>10712</v>
      </c>
      <c r="O15" s="5" t="s">
        <v>176</v>
      </c>
      <c r="P15" s="6">
        <v>0</v>
      </c>
      <c r="Q15" s="7">
        <v>10416764</v>
      </c>
      <c r="R15" s="7">
        <f t="shared" si="0"/>
        <v>385806.0740740741</v>
      </c>
      <c r="S15" s="7">
        <v>609</v>
      </c>
      <c r="T15" s="7">
        <v>23</v>
      </c>
      <c r="U15" s="7">
        <f t="shared" si="1"/>
        <v>584762</v>
      </c>
      <c r="V15" s="7">
        <f t="shared" si="2"/>
        <v>970568.07407407416</v>
      </c>
      <c r="W15" s="8">
        <f t="shared" si="3"/>
        <v>0.39750542427653479</v>
      </c>
      <c r="X15" s="5" t="s">
        <v>177</v>
      </c>
      <c r="Y15" s="5" t="s">
        <v>39</v>
      </c>
      <c r="Z15" s="5"/>
    </row>
    <row r="16" spans="1:26" ht="15.75" customHeight="1" x14ac:dyDescent="0.3">
      <c r="A16" s="9" t="s">
        <v>26</v>
      </c>
      <c r="B16" s="9" t="s">
        <v>178</v>
      </c>
      <c r="C16" s="3">
        <v>15</v>
      </c>
      <c r="D16" s="4" t="s">
        <v>179</v>
      </c>
      <c r="E16" s="9" t="s">
        <v>180</v>
      </c>
      <c r="F16" s="9" t="s">
        <v>181</v>
      </c>
      <c r="G16" s="11" t="s">
        <v>31</v>
      </c>
      <c r="H16" s="11" t="s">
        <v>182</v>
      </c>
      <c r="I16" s="11" t="s">
        <v>183</v>
      </c>
      <c r="J16" s="12">
        <v>193760</v>
      </c>
      <c r="K16" s="11" t="s">
        <v>184</v>
      </c>
      <c r="L16" s="11" t="s">
        <v>185</v>
      </c>
      <c r="M16" s="11" t="s">
        <v>186</v>
      </c>
      <c r="N16" s="12">
        <v>6850</v>
      </c>
      <c r="O16" s="11" t="s">
        <v>187</v>
      </c>
      <c r="P16" s="12">
        <v>0</v>
      </c>
      <c r="Q16" s="15">
        <f>IFERROR(VLOOKUP(F16,'[1]Colombia Radio'!$C$2:$E$97118,2,0),0)</f>
        <v>0</v>
      </c>
      <c r="R16" s="15">
        <f t="shared" si="0"/>
        <v>0</v>
      </c>
      <c r="S16" s="15">
        <f>IFERROR(VLOOKUP(F16,'[1]Colombia Radio'!$C$2:$E$69000,3,0),0)</f>
        <v>0</v>
      </c>
      <c r="T16" s="15">
        <f>IFERROR(VLOOKUP(F16,'[1]Colombia Radio'!$C$2:$F$69000,4,0),0)</f>
        <v>0</v>
      </c>
      <c r="U16" s="15">
        <f t="shared" si="1"/>
        <v>200610</v>
      </c>
      <c r="V16" s="15">
        <f t="shared" si="2"/>
        <v>200610</v>
      </c>
      <c r="W16" s="16">
        <f t="shared" si="3"/>
        <v>0</v>
      </c>
      <c r="X16" s="11" t="s">
        <v>188</v>
      </c>
      <c r="Y16" s="11" t="s">
        <v>39</v>
      </c>
      <c r="Z16" s="11"/>
    </row>
    <row r="17" spans="1:26" ht="15.75" customHeight="1" x14ac:dyDescent="0.3">
      <c r="A17" s="9" t="s">
        <v>26</v>
      </c>
      <c r="B17" s="9" t="s">
        <v>189</v>
      </c>
      <c r="C17" s="10">
        <v>16</v>
      </c>
      <c r="D17" s="4" t="s">
        <v>190</v>
      </c>
      <c r="E17" s="9" t="s">
        <v>191</v>
      </c>
      <c r="F17" s="9" t="s">
        <v>192</v>
      </c>
      <c r="G17" s="11" t="s">
        <v>31</v>
      </c>
      <c r="H17" s="11" t="s">
        <v>193</v>
      </c>
      <c r="I17" s="11" t="s">
        <v>194</v>
      </c>
      <c r="J17" s="12">
        <v>586748</v>
      </c>
      <c r="K17" s="11" t="s">
        <v>195</v>
      </c>
      <c r="L17" s="11" t="s">
        <v>31</v>
      </c>
      <c r="M17" s="11" t="s">
        <v>31</v>
      </c>
      <c r="N17" s="12">
        <v>0</v>
      </c>
      <c r="O17" s="11" t="s">
        <v>31</v>
      </c>
      <c r="P17" s="12">
        <v>0</v>
      </c>
      <c r="Q17" s="13">
        <v>7576679</v>
      </c>
      <c r="R17" s="13">
        <f t="shared" si="0"/>
        <v>280617.74074074073</v>
      </c>
      <c r="S17" s="13">
        <v>334</v>
      </c>
      <c r="T17" s="13">
        <v>32</v>
      </c>
      <c r="U17" s="13">
        <f t="shared" si="1"/>
        <v>586748</v>
      </c>
      <c r="V17" s="13">
        <f t="shared" si="2"/>
        <v>867365.74074074067</v>
      </c>
      <c r="W17" s="14">
        <f t="shared" si="3"/>
        <v>0.32352873483461525</v>
      </c>
      <c r="X17" s="11" t="s">
        <v>196</v>
      </c>
      <c r="Y17" s="11" t="s">
        <v>39</v>
      </c>
      <c r="Z17" s="11" t="s">
        <v>197</v>
      </c>
    </row>
    <row r="18" spans="1:26" ht="15.75" customHeight="1" x14ac:dyDescent="0.3">
      <c r="A18" s="2" t="s">
        <v>26</v>
      </c>
      <c r="B18" s="2" t="s">
        <v>198</v>
      </c>
      <c r="C18" s="3">
        <v>17</v>
      </c>
      <c r="D18" s="4" t="s">
        <v>199</v>
      </c>
      <c r="E18" s="2" t="s">
        <v>200</v>
      </c>
      <c r="F18" s="4" t="s">
        <v>201</v>
      </c>
      <c r="G18" s="5" t="s">
        <v>31</v>
      </c>
      <c r="H18" s="5" t="s">
        <v>202</v>
      </c>
      <c r="I18" s="5" t="s">
        <v>203</v>
      </c>
      <c r="J18" s="6">
        <v>810268</v>
      </c>
      <c r="K18" s="5" t="s">
        <v>204</v>
      </c>
      <c r="L18" s="5" t="s">
        <v>31</v>
      </c>
      <c r="M18" s="5" t="s">
        <v>31</v>
      </c>
      <c r="N18" s="6">
        <v>0</v>
      </c>
      <c r="O18" s="5" t="s">
        <v>31</v>
      </c>
      <c r="P18" s="6">
        <v>0</v>
      </c>
      <c r="Q18" s="7">
        <v>1372621</v>
      </c>
      <c r="R18" s="7">
        <f t="shared" si="0"/>
        <v>50837.814814814818</v>
      </c>
      <c r="S18" s="7">
        <v>56</v>
      </c>
      <c r="T18" s="7">
        <v>420</v>
      </c>
      <c r="U18" s="7">
        <f t="shared" si="1"/>
        <v>810268</v>
      </c>
      <c r="V18" s="7">
        <f t="shared" si="2"/>
        <v>861105.81481481483</v>
      </c>
      <c r="W18" s="8">
        <f t="shared" si="3"/>
        <v>5.9037825479958866E-2</v>
      </c>
      <c r="X18" s="5" t="s">
        <v>205</v>
      </c>
      <c r="Y18" s="5" t="s">
        <v>39</v>
      </c>
      <c r="Z18" s="5" t="s">
        <v>206</v>
      </c>
    </row>
    <row r="19" spans="1:26" ht="15.75" customHeight="1" x14ac:dyDescent="0.3">
      <c r="A19" s="9" t="s">
        <v>26</v>
      </c>
      <c r="B19" s="9" t="s">
        <v>207</v>
      </c>
      <c r="C19" s="10">
        <v>18</v>
      </c>
      <c r="D19" s="4" t="s">
        <v>208</v>
      </c>
      <c r="E19" s="9" t="s">
        <v>209</v>
      </c>
      <c r="F19" s="9" t="s">
        <v>210</v>
      </c>
      <c r="G19" s="11" t="s">
        <v>31</v>
      </c>
      <c r="H19" s="11" t="s">
        <v>211</v>
      </c>
      <c r="I19" s="11" t="s">
        <v>212</v>
      </c>
      <c r="J19" s="12">
        <v>490590</v>
      </c>
      <c r="K19" s="11" t="s">
        <v>213</v>
      </c>
      <c r="L19" s="11" t="s">
        <v>214</v>
      </c>
      <c r="M19" s="11" t="s">
        <v>215</v>
      </c>
      <c r="N19" s="12">
        <v>9423</v>
      </c>
      <c r="O19" s="11" t="s">
        <v>216</v>
      </c>
      <c r="P19" s="12">
        <v>0</v>
      </c>
      <c r="Q19" s="13">
        <v>9037130</v>
      </c>
      <c r="R19" s="13">
        <f t="shared" si="0"/>
        <v>334708.51851851854</v>
      </c>
      <c r="S19" s="13">
        <v>412</v>
      </c>
      <c r="T19" s="13">
        <v>28</v>
      </c>
      <c r="U19" s="13">
        <f t="shared" si="1"/>
        <v>500013</v>
      </c>
      <c r="V19" s="13">
        <f t="shared" si="2"/>
        <v>834721.51851851854</v>
      </c>
      <c r="W19" s="14">
        <f t="shared" si="3"/>
        <v>0.40098225706768209</v>
      </c>
      <c r="X19" s="11" t="s">
        <v>217</v>
      </c>
      <c r="Y19" s="11" t="s">
        <v>39</v>
      </c>
      <c r="Z19" s="11" t="s">
        <v>218</v>
      </c>
    </row>
    <row r="20" spans="1:26" ht="15.75" customHeight="1" x14ac:dyDescent="0.3">
      <c r="A20" s="2" t="s">
        <v>26</v>
      </c>
      <c r="B20" s="2" t="s">
        <v>219</v>
      </c>
      <c r="C20" s="3">
        <v>19</v>
      </c>
      <c r="D20" s="4" t="s">
        <v>220</v>
      </c>
      <c r="E20" s="2" t="s">
        <v>221</v>
      </c>
      <c r="F20" s="2" t="s">
        <v>222</v>
      </c>
      <c r="G20" s="5" t="s">
        <v>31</v>
      </c>
      <c r="H20" s="5" t="s">
        <v>223</v>
      </c>
      <c r="I20" s="5" t="s">
        <v>224</v>
      </c>
      <c r="J20" s="6">
        <v>635315</v>
      </c>
      <c r="K20" s="5" t="s">
        <v>225</v>
      </c>
      <c r="L20" s="5" t="s">
        <v>226</v>
      </c>
      <c r="M20" s="5" t="s">
        <v>227</v>
      </c>
      <c r="N20" s="6">
        <v>11498</v>
      </c>
      <c r="O20" s="5" t="s">
        <v>228</v>
      </c>
      <c r="P20" s="6">
        <v>0</v>
      </c>
      <c r="Q20" s="7">
        <v>4104458</v>
      </c>
      <c r="R20" s="7">
        <f t="shared" si="0"/>
        <v>152016.96296296295</v>
      </c>
      <c r="S20" s="7">
        <v>281</v>
      </c>
      <c r="T20" s="7">
        <v>65</v>
      </c>
      <c r="U20" s="7">
        <f t="shared" si="1"/>
        <v>646813</v>
      </c>
      <c r="V20" s="7">
        <f t="shared" si="2"/>
        <v>798829.96296296292</v>
      </c>
      <c r="W20" s="8">
        <f t="shared" si="3"/>
        <v>0.19029952557001306</v>
      </c>
      <c r="X20" s="5" t="s">
        <v>229</v>
      </c>
      <c r="Y20" s="5" t="s">
        <v>39</v>
      </c>
      <c r="Z20" s="5" t="s">
        <v>230</v>
      </c>
    </row>
    <row r="21" spans="1:26" ht="15.75" customHeight="1" x14ac:dyDescent="0.3">
      <c r="A21" s="9" t="s">
        <v>26</v>
      </c>
      <c r="B21" s="9" t="s">
        <v>231</v>
      </c>
      <c r="C21" s="10">
        <v>20</v>
      </c>
      <c r="D21" s="4" t="s">
        <v>232</v>
      </c>
      <c r="E21" s="9" t="s">
        <v>43</v>
      </c>
      <c r="F21" s="9" t="s">
        <v>233</v>
      </c>
      <c r="G21" s="11" t="s">
        <v>31</v>
      </c>
      <c r="H21" s="11" t="s">
        <v>234</v>
      </c>
      <c r="I21" s="11" t="s">
        <v>235</v>
      </c>
      <c r="J21" s="12">
        <v>794906</v>
      </c>
      <c r="K21" s="11" t="s">
        <v>236</v>
      </c>
      <c r="L21" s="11" t="s">
        <v>31</v>
      </c>
      <c r="M21" s="11" t="s">
        <v>31</v>
      </c>
      <c r="N21" s="12">
        <v>0</v>
      </c>
      <c r="O21" s="11" t="s">
        <v>31</v>
      </c>
      <c r="P21" s="12">
        <v>0</v>
      </c>
      <c r="Q21" s="15">
        <f>IFERROR(VLOOKUP(F21,'[1]Colombia Radio'!$C$2:$E$97118,2,0),0)</f>
        <v>0</v>
      </c>
      <c r="R21" s="15">
        <f t="shared" si="0"/>
        <v>0</v>
      </c>
      <c r="S21" s="15">
        <f>IFERROR(VLOOKUP(F21,'[1]Colombia Radio'!$C$2:$E$69000,3,0),0)</f>
        <v>0</v>
      </c>
      <c r="T21" s="15">
        <f>IFERROR(VLOOKUP(F21,'[1]Colombia Radio'!$C$2:$F$69000,4,0),0)</f>
        <v>0</v>
      </c>
      <c r="U21" s="15">
        <f t="shared" si="1"/>
        <v>794906</v>
      </c>
      <c r="V21" s="15">
        <f t="shared" si="2"/>
        <v>794906</v>
      </c>
      <c r="W21" s="16">
        <f t="shared" si="3"/>
        <v>0</v>
      </c>
      <c r="X21" s="11" t="s">
        <v>237</v>
      </c>
      <c r="Y21" s="11" t="s">
        <v>39</v>
      </c>
      <c r="Z21" s="11" t="s">
        <v>238</v>
      </c>
    </row>
    <row r="22" spans="1:26" ht="15.75" customHeight="1" x14ac:dyDescent="0.3">
      <c r="A22" s="2" t="s">
        <v>26</v>
      </c>
      <c r="B22" s="2" t="s">
        <v>239</v>
      </c>
      <c r="C22" s="3">
        <v>21</v>
      </c>
      <c r="D22" s="4" t="s">
        <v>240</v>
      </c>
      <c r="E22" s="2" t="s">
        <v>200</v>
      </c>
      <c r="F22" s="2" t="s">
        <v>241</v>
      </c>
      <c r="G22" s="5" t="s">
        <v>31</v>
      </c>
      <c r="H22" s="5" t="s">
        <v>242</v>
      </c>
      <c r="I22" s="5" t="s">
        <v>243</v>
      </c>
      <c r="J22" s="6">
        <v>720134</v>
      </c>
      <c r="K22" s="5" t="s">
        <v>244</v>
      </c>
      <c r="L22" s="5" t="s">
        <v>31</v>
      </c>
      <c r="M22" s="5" t="s">
        <v>31</v>
      </c>
      <c r="N22" s="6">
        <v>0</v>
      </c>
      <c r="O22" s="5" t="s">
        <v>31</v>
      </c>
      <c r="P22" s="6">
        <v>0</v>
      </c>
      <c r="Q22" s="7">
        <v>1588446</v>
      </c>
      <c r="R22" s="7">
        <f t="shared" si="0"/>
        <v>58831.333333333336</v>
      </c>
      <c r="S22" s="7">
        <v>68</v>
      </c>
      <c r="T22" s="7">
        <v>307</v>
      </c>
      <c r="U22" s="7">
        <f t="shared" si="1"/>
        <v>720134</v>
      </c>
      <c r="V22" s="7">
        <f t="shared" si="2"/>
        <v>778965.33333333337</v>
      </c>
      <c r="W22" s="8">
        <f t="shared" si="3"/>
        <v>7.5524969874568665E-2</v>
      </c>
      <c r="X22" s="5" t="s">
        <v>245</v>
      </c>
      <c r="Y22" s="5" t="s">
        <v>39</v>
      </c>
      <c r="Z22" s="5"/>
    </row>
    <row r="23" spans="1:26" ht="15.75" customHeight="1" x14ac:dyDescent="0.3">
      <c r="A23" s="2" t="s">
        <v>26</v>
      </c>
      <c r="B23" s="2" t="s">
        <v>246</v>
      </c>
      <c r="C23" s="10">
        <v>22</v>
      </c>
      <c r="D23" s="4" t="s">
        <v>247</v>
      </c>
      <c r="E23" s="2" t="s">
        <v>248</v>
      </c>
      <c r="F23" s="2" t="s">
        <v>249</v>
      </c>
      <c r="G23" s="5" t="s">
        <v>31</v>
      </c>
      <c r="H23" s="5" t="s">
        <v>250</v>
      </c>
      <c r="I23" s="5" t="s">
        <v>251</v>
      </c>
      <c r="J23" s="6">
        <v>85364</v>
      </c>
      <c r="K23" s="5" t="s">
        <v>252</v>
      </c>
      <c r="L23" s="5" t="s">
        <v>253</v>
      </c>
      <c r="M23" s="5" t="s">
        <v>254</v>
      </c>
      <c r="N23" s="6">
        <v>1592</v>
      </c>
      <c r="O23" s="5" t="s">
        <v>255</v>
      </c>
      <c r="P23" s="6">
        <v>0</v>
      </c>
      <c r="Q23" s="15">
        <f>IFERROR(VLOOKUP(F23,'[1]Colombia Radio'!$C$2:$E$97118,2,0),0)</f>
        <v>0</v>
      </c>
      <c r="R23" s="15">
        <f t="shared" si="0"/>
        <v>0</v>
      </c>
      <c r="S23" s="15">
        <f>IFERROR(VLOOKUP(F23,'[1]Colombia Radio'!$C$2:$E$69000,3,0),0)</f>
        <v>0</v>
      </c>
      <c r="T23" s="15">
        <f>IFERROR(VLOOKUP(F23,'[1]Colombia Radio'!$C$2:$F$69000,4,0),0)</f>
        <v>0</v>
      </c>
      <c r="U23" s="15">
        <f t="shared" si="1"/>
        <v>86956</v>
      </c>
      <c r="V23" s="15">
        <f t="shared" si="2"/>
        <v>86956</v>
      </c>
      <c r="W23" s="16">
        <f t="shared" si="3"/>
        <v>0</v>
      </c>
      <c r="X23" s="5" t="s">
        <v>256</v>
      </c>
      <c r="Y23" s="5" t="s">
        <v>39</v>
      </c>
      <c r="Z23" s="5"/>
    </row>
    <row r="24" spans="1:26" ht="15.75" customHeight="1" x14ac:dyDescent="0.3">
      <c r="A24" s="9" t="s">
        <v>26</v>
      </c>
      <c r="B24" s="9" t="s">
        <v>257</v>
      </c>
      <c r="C24" s="3">
        <v>23</v>
      </c>
      <c r="D24" s="4" t="s">
        <v>258</v>
      </c>
      <c r="E24" s="9" t="s">
        <v>149</v>
      </c>
      <c r="F24" s="4" t="s">
        <v>259</v>
      </c>
      <c r="G24" s="11" t="s">
        <v>31</v>
      </c>
      <c r="H24" s="11" t="s">
        <v>260</v>
      </c>
      <c r="I24" s="11" t="s">
        <v>261</v>
      </c>
      <c r="J24" s="12">
        <v>521815</v>
      </c>
      <c r="K24" s="11" t="s">
        <v>262</v>
      </c>
      <c r="L24" s="11" t="s">
        <v>263</v>
      </c>
      <c r="M24" s="11" t="s">
        <v>264</v>
      </c>
      <c r="N24" s="12">
        <v>1787</v>
      </c>
      <c r="O24" s="11" t="s">
        <v>265</v>
      </c>
      <c r="P24" s="12">
        <v>0</v>
      </c>
      <c r="Q24" s="13">
        <v>5299960</v>
      </c>
      <c r="R24" s="13">
        <f t="shared" si="0"/>
        <v>196294.8148148148</v>
      </c>
      <c r="S24" s="13">
        <v>393</v>
      </c>
      <c r="T24" s="13">
        <v>46</v>
      </c>
      <c r="U24" s="13">
        <f t="shared" si="1"/>
        <v>523602</v>
      </c>
      <c r="V24" s="13">
        <f t="shared" si="2"/>
        <v>719896.81481481483</v>
      </c>
      <c r="W24" s="14">
        <f t="shared" si="3"/>
        <v>0.27267076444185878</v>
      </c>
      <c r="X24" s="11" t="s">
        <v>266</v>
      </c>
      <c r="Y24" s="11" t="s">
        <v>39</v>
      </c>
      <c r="Z24" s="11" t="s">
        <v>267</v>
      </c>
    </row>
    <row r="25" spans="1:26" ht="15.75" customHeight="1" x14ac:dyDescent="0.3">
      <c r="A25" s="9" t="s">
        <v>26</v>
      </c>
      <c r="B25" s="9" t="s">
        <v>268</v>
      </c>
      <c r="C25" s="10">
        <v>24</v>
      </c>
      <c r="D25" s="4" t="s">
        <v>269</v>
      </c>
      <c r="E25" s="9" t="s">
        <v>270</v>
      </c>
      <c r="F25" s="9" t="s">
        <v>271</v>
      </c>
      <c r="G25" s="11" t="s">
        <v>31</v>
      </c>
      <c r="H25" s="11" t="s">
        <v>272</v>
      </c>
      <c r="I25" s="11" t="s">
        <v>273</v>
      </c>
      <c r="J25" s="12">
        <v>50109</v>
      </c>
      <c r="K25" s="11" t="s">
        <v>274</v>
      </c>
      <c r="L25" s="11" t="s">
        <v>31</v>
      </c>
      <c r="M25" s="11" t="s">
        <v>31</v>
      </c>
      <c r="N25" s="12">
        <v>0</v>
      </c>
      <c r="O25" s="11" t="s">
        <v>31</v>
      </c>
      <c r="P25" s="12">
        <v>0</v>
      </c>
      <c r="Q25" s="15">
        <f>IFERROR(VLOOKUP(F25,'[1]Colombia Radio'!$C$2:$E$97118,2,0),0)</f>
        <v>0</v>
      </c>
      <c r="R25" s="15">
        <f t="shared" si="0"/>
        <v>0</v>
      </c>
      <c r="S25" s="15">
        <f>IFERROR(VLOOKUP(F25,'[1]Colombia Radio'!$C$2:$E$69000,3,0),0)</f>
        <v>0</v>
      </c>
      <c r="T25" s="15">
        <f>IFERROR(VLOOKUP(F25,'[1]Colombia Radio'!$C$2:$F$69000,4,0),0)</f>
        <v>0</v>
      </c>
      <c r="U25" s="15">
        <f t="shared" si="1"/>
        <v>50109</v>
      </c>
      <c r="V25" s="15">
        <f t="shared" si="2"/>
        <v>50109</v>
      </c>
      <c r="W25" s="16">
        <f t="shared" si="3"/>
        <v>0</v>
      </c>
      <c r="X25" s="11" t="s">
        <v>275</v>
      </c>
      <c r="Y25" s="11" t="s">
        <v>39</v>
      </c>
      <c r="Z25" s="11"/>
    </row>
    <row r="26" spans="1:26" ht="15.75" customHeight="1" x14ac:dyDescent="0.3">
      <c r="A26" s="2" t="s">
        <v>26</v>
      </c>
      <c r="B26" s="2" t="s">
        <v>276</v>
      </c>
      <c r="C26" s="3">
        <v>25</v>
      </c>
      <c r="D26" s="4" t="s">
        <v>208</v>
      </c>
      <c r="E26" s="2" t="s">
        <v>209</v>
      </c>
      <c r="F26" s="2" t="s">
        <v>277</v>
      </c>
      <c r="G26" s="5" t="s">
        <v>31</v>
      </c>
      <c r="H26" s="5" t="s">
        <v>278</v>
      </c>
      <c r="I26" s="5" t="s">
        <v>279</v>
      </c>
      <c r="J26" s="6">
        <v>394476</v>
      </c>
      <c r="K26" s="5" t="s">
        <v>280</v>
      </c>
      <c r="L26" s="5" t="s">
        <v>31</v>
      </c>
      <c r="M26" s="5" t="s">
        <v>31</v>
      </c>
      <c r="N26" s="6">
        <v>0</v>
      </c>
      <c r="O26" s="5" t="s">
        <v>31</v>
      </c>
      <c r="P26" s="6">
        <v>0</v>
      </c>
      <c r="Q26" s="7">
        <v>7678351</v>
      </c>
      <c r="R26" s="7">
        <f t="shared" si="0"/>
        <v>284383.37037037039</v>
      </c>
      <c r="S26" s="7">
        <v>473</v>
      </c>
      <c r="T26" s="7">
        <v>30</v>
      </c>
      <c r="U26" s="7">
        <f t="shared" si="1"/>
        <v>394476</v>
      </c>
      <c r="V26" s="7">
        <f t="shared" si="2"/>
        <v>678859.37037037034</v>
      </c>
      <c r="W26" s="8">
        <f t="shared" si="3"/>
        <v>0.41891352286294176</v>
      </c>
      <c r="X26" s="5" t="s">
        <v>281</v>
      </c>
      <c r="Y26" s="5" t="s">
        <v>39</v>
      </c>
      <c r="Z26" s="5"/>
    </row>
    <row r="27" spans="1:26" ht="15.75" customHeight="1" x14ac:dyDescent="0.3">
      <c r="A27" s="9" t="s">
        <v>26</v>
      </c>
      <c r="B27" s="9" t="s">
        <v>282</v>
      </c>
      <c r="C27" s="10">
        <v>26</v>
      </c>
      <c r="D27" s="4" t="s">
        <v>283</v>
      </c>
      <c r="E27" s="9" t="s">
        <v>284</v>
      </c>
      <c r="F27" s="9" t="s">
        <v>285</v>
      </c>
      <c r="G27" s="11" t="s">
        <v>31</v>
      </c>
      <c r="H27" s="11" t="s">
        <v>286</v>
      </c>
      <c r="I27" s="11" t="s">
        <v>287</v>
      </c>
      <c r="J27" s="12">
        <v>501026</v>
      </c>
      <c r="K27" s="11" t="s">
        <v>288</v>
      </c>
      <c r="L27" s="11" t="s">
        <v>289</v>
      </c>
      <c r="M27" s="11" t="s">
        <v>290</v>
      </c>
      <c r="N27" s="12">
        <v>8791</v>
      </c>
      <c r="O27" s="11" t="s">
        <v>291</v>
      </c>
      <c r="P27" s="12">
        <v>0</v>
      </c>
      <c r="Q27" s="13">
        <v>4556797</v>
      </c>
      <c r="R27" s="13">
        <f t="shared" si="0"/>
        <v>168770.25925925927</v>
      </c>
      <c r="S27" s="13">
        <v>293</v>
      </c>
      <c r="T27" s="13">
        <v>56</v>
      </c>
      <c r="U27" s="13">
        <f t="shared" si="1"/>
        <v>509817</v>
      </c>
      <c r="V27" s="13">
        <f t="shared" si="2"/>
        <v>678587.25925925933</v>
      </c>
      <c r="W27" s="14">
        <f t="shared" si="3"/>
        <v>0.24870826405359805</v>
      </c>
      <c r="X27" s="11" t="s">
        <v>292</v>
      </c>
      <c r="Y27" s="11" t="s">
        <v>39</v>
      </c>
      <c r="Z27" s="11" t="s">
        <v>293</v>
      </c>
    </row>
    <row r="28" spans="1:26" ht="15.75" customHeight="1" x14ac:dyDescent="0.3">
      <c r="A28" s="2" t="s">
        <v>26</v>
      </c>
      <c r="B28" s="2" t="s">
        <v>294</v>
      </c>
      <c r="C28" s="3">
        <v>27</v>
      </c>
      <c r="D28" s="4" t="s">
        <v>295</v>
      </c>
      <c r="E28" s="2" t="s">
        <v>296</v>
      </c>
      <c r="F28" s="2" t="s">
        <v>297</v>
      </c>
      <c r="G28" s="5" t="s">
        <v>31</v>
      </c>
      <c r="H28" s="5" t="s">
        <v>298</v>
      </c>
      <c r="I28" s="5" t="s">
        <v>299</v>
      </c>
      <c r="J28" s="6">
        <v>582165</v>
      </c>
      <c r="K28" s="5" t="s">
        <v>300</v>
      </c>
      <c r="L28" s="5" t="s">
        <v>31</v>
      </c>
      <c r="M28" s="5" t="s">
        <v>31</v>
      </c>
      <c r="N28" s="6">
        <v>0</v>
      </c>
      <c r="O28" s="5" t="s">
        <v>31</v>
      </c>
      <c r="P28" s="6">
        <v>0</v>
      </c>
      <c r="Q28" s="7">
        <v>1742738</v>
      </c>
      <c r="R28" s="7">
        <f t="shared" si="0"/>
        <v>64545.851851851854</v>
      </c>
      <c r="S28" s="7">
        <v>110</v>
      </c>
      <c r="T28" s="7">
        <v>265</v>
      </c>
      <c r="U28" s="7">
        <f t="shared" si="1"/>
        <v>582165</v>
      </c>
      <c r="V28" s="7">
        <f t="shared" si="2"/>
        <v>646710.85185185191</v>
      </c>
      <c r="W28" s="8">
        <f t="shared" si="3"/>
        <v>9.9806353437591575E-2</v>
      </c>
      <c r="X28" s="5" t="s">
        <v>301</v>
      </c>
      <c r="Y28" s="5" t="s">
        <v>39</v>
      </c>
      <c r="Z28" s="5" t="s">
        <v>302</v>
      </c>
    </row>
    <row r="29" spans="1:26" ht="14.4" x14ac:dyDescent="0.3">
      <c r="A29" s="9" t="s">
        <v>26</v>
      </c>
      <c r="B29" s="9" t="s">
        <v>303</v>
      </c>
      <c r="C29" s="10">
        <v>28</v>
      </c>
      <c r="D29" s="4" t="s">
        <v>304</v>
      </c>
      <c r="E29" s="9" t="s">
        <v>305</v>
      </c>
      <c r="F29" s="9" t="s">
        <v>306</v>
      </c>
      <c r="G29" s="11" t="s">
        <v>31</v>
      </c>
      <c r="H29" s="11" t="s">
        <v>307</v>
      </c>
      <c r="I29" s="11" t="s">
        <v>308</v>
      </c>
      <c r="J29" s="12">
        <v>443641</v>
      </c>
      <c r="K29" s="11" t="s">
        <v>309</v>
      </c>
      <c r="L29" s="11" t="s">
        <v>31</v>
      </c>
      <c r="M29" s="11" t="s">
        <v>31</v>
      </c>
      <c r="N29" s="12">
        <v>0</v>
      </c>
      <c r="O29" s="11" t="s">
        <v>31</v>
      </c>
      <c r="P29" s="12">
        <v>0</v>
      </c>
      <c r="Q29" s="13">
        <v>4817075</v>
      </c>
      <c r="R29" s="13">
        <f t="shared" si="0"/>
        <v>178410.1851851852</v>
      </c>
      <c r="S29" s="13">
        <v>350</v>
      </c>
      <c r="T29" s="13">
        <v>49</v>
      </c>
      <c r="U29" s="13">
        <f t="shared" si="1"/>
        <v>443641</v>
      </c>
      <c r="V29" s="13">
        <f t="shared" si="2"/>
        <v>622051.18518518517</v>
      </c>
      <c r="W29" s="14">
        <f t="shared" si="3"/>
        <v>0.28680949322855537</v>
      </c>
      <c r="X29" s="11" t="s">
        <v>310</v>
      </c>
      <c r="Y29" s="11" t="s">
        <v>39</v>
      </c>
      <c r="Z29" s="11" t="s">
        <v>311</v>
      </c>
    </row>
    <row r="30" spans="1:26" ht="14.4" x14ac:dyDescent="0.3">
      <c r="A30" s="2" t="s">
        <v>26</v>
      </c>
      <c r="B30" s="2" t="s">
        <v>312</v>
      </c>
      <c r="C30" s="3">
        <v>29</v>
      </c>
      <c r="D30" s="4" t="s">
        <v>313</v>
      </c>
      <c r="E30" s="2" t="s">
        <v>314</v>
      </c>
      <c r="F30" s="4" t="s">
        <v>315</v>
      </c>
      <c r="G30" s="5" t="s">
        <v>31</v>
      </c>
      <c r="H30" s="5" t="s">
        <v>316</v>
      </c>
      <c r="I30" s="5" t="s">
        <v>317</v>
      </c>
      <c r="J30" s="6">
        <v>466683</v>
      </c>
      <c r="K30" s="5" t="s">
        <v>318</v>
      </c>
      <c r="L30" s="5" t="s">
        <v>319</v>
      </c>
      <c r="M30" s="5" t="s">
        <v>320</v>
      </c>
      <c r="N30" s="6">
        <v>11068</v>
      </c>
      <c r="O30" s="5" t="s">
        <v>321</v>
      </c>
      <c r="P30" s="6">
        <v>0</v>
      </c>
      <c r="Q30" s="7">
        <v>2904905</v>
      </c>
      <c r="R30" s="7">
        <f t="shared" si="0"/>
        <v>107589.07407407407</v>
      </c>
      <c r="S30" s="7">
        <v>219</v>
      </c>
      <c r="T30" s="7">
        <v>103</v>
      </c>
      <c r="U30" s="7">
        <f t="shared" si="1"/>
        <v>477751</v>
      </c>
      <c r="V30" s="7">
        <f t="shared" si="2"/>
        <v>585340.07407407404</v>
      </c>
      <c r="W30" s="8">
        <f t="shared" si="3"/>
        <v>0.18380609638638684</v>
      </c>
      <c r="X30" s="5" t="s">
        <v>322</v>
      </c>
      <c r="Y30" s="5" t="s">
        <v>39</v>
      </c>
      <c r="Z30" s="5" t="s">
        <v>323</v>
      </c>
    </row>
    <row r="31" spans="1:26" ht="14.4" x14ac:dyDescent="0.3">
      <c r="A31" s="9" t="s">
        <v>26</v>
      </c>
      <c r="B31" s="9" t="s">
        <v>324</v>
      </c>
      <c r="C31" s="10">
        <v>30</v>
      </c>
      <c r="D31" s="4" t="s">
        <v>325</v>
      </c>
      <c r="E31" s="9" t="s">
        <v>326</v>
      </c>
      <c r="F31" s="9" t="s">
        <v>327</v>
      </c>
      <c r="G31" s="11" t="s">
        <v>31</v>
      </c>
      <c r="H31" s="11" t="s">
        <v>328</v>
      </c>
      <c r="I31" s="11" t="s">
        <v>329</v>
      </c>
      <c r="J31" s="12">
        <v>396741</v>
      </c>
      <c r="K31" s="11" t="s">
        <v>330</v>
      </c>
      <c r="L31" s="11" t="s">
        <v>331</v>
      </c>
      <c r="M31" s="11" t="s">
        <v>332</v>
      </c>
      <c r="N31" s="12">
        <v>8960</v>
      </c>
      <c r="O31" s="11" t="s">
        <v>333</v>
      </c>
      <c r="P31" s="12">
        <v>0</v>
      </c>
      <c r="Q31" s="13">
        <v>4628463</v>
      </c>
      <c r="R31" s="13">
        <f t="shared" si="0"/>
        <v>171424.55555555556</v>
      </c>
      <c r="S31" s="13">
        <v>269</v>
      </c>
      <c r="T31" s="13">
        <v>55</v>
      </c>
      <c r="U31" s="13">
        <f t="shared" si="1"/>
        <v>405701</v>
      </c>
      <c r="V31" s="13">
        <f t="shared" si="2"/>
        <v>577125.5555555555</v>
      </c>
      <c r="W31" s="14">
        <f t="shared" si="3"/>
        <v>0.29703164918860331</v>
      </c>
      <c r="X31" s="11" t="s">
        <v>334</v>
      </c>
      <c r="Y31" s="11" t="s">
        <v>39</v>
      </c>
      <c r="Z31" s="11" t="s">
        <v>335</v>
      </c>
    </row>
    <row r="32" spans="1:26" ht="14.4" x14ac:dyDescent="0.3">
      <c r="A32" s="2" t="s">
        <v>26</v>
      </c>
      <c r="B32" s="2" t="s">
        <v>336</v>
      </c>
      <c r="C32" s="3">
        <v>31</v>
      </c>
      <c r="D32" s="4" t="s">
        <v>337</v>
      </c>
      <c r="E32" s="2" t="s">
        <v>338</v>
      </c>
      <c r="F32" s="2" t="s">
        <v>339</v>
      </c>
      <c r="G32" s="5" t="s">
        <v>31</v>
      </c>
      <c r="H32" s="5" t="s">
        <v>340</v>
      </c>
      <c r="I32" s="5" t="s">
        <v>341</v>
      </c>
      <c r="J32" s="6">
        <v>459487</v>
      </c>
      <c r="K32" s="5" t="s">
        <v>342</v>
      </c>
      <c r="L32" s="5" t="s">
        <v>343</v>
      </c>
      <c r="M32" s="5" t="s">
        <v>344</v>
      </c>
      <c r="N32" s="6">
        <v>8241</v>
      </c>
      <c r="O32" s="5" t="s">
        <v>345</v>
      </c>
      <c r="P32" s="6">
        <v>0</v>
      </c>
      <c r="Q32" s="7">
        <v>2836681</v>
      </c>
      <c r="R32" s="7">
        <f t="shared" si="0"/>
        <v>105062.25925925926</v>
      </c>
      <c r="S32" s="7">
        <v>151</v>
      </c>
      <c r="T32" s="7">
        <v>108</v>
      </c>
      <c r="U32" s="7">
        <f t="shared" si="1"/>
        <v>467728</v>
      </c>
      <c r="V32" s="7">
        <f t="shared" si="2"/>
        <v>572790.25925925921</v>
      </c>
      <c r="W32" s="8">
        <f t="shared" si="3"/>
        <v>0.1834218678842886</v>
      </c>
      <c r="X32" s="5" t="s">
        <v>346</v>
      </c>
      <c r="Y32" s="5" t="s">
        <v>39</v>
      </c>
      <c r="Z32" s="5" t="s">
        <v>347</v>
      </c>
    </row>
    <row r="33" spans="1:26" ht="14.4" x14ac:dyDescent="0.3">
      <c r="A33" s="9" t="s">
        <v>26</v>
      </c>
      <c r="B33" s="9" t="s">
        <v>348</v>
      </c>
      <c r="C33" s="10">
        <v>32</v>
      </c>
      <c r="D33" s="17" t="s">
        <v>349</v>
      </c>
      <c r="E33" s="17" t="s">
        <v>350</v>
      </c>
      <c r="F33" s="17" t="s">
        <v>351</v>
      </c>
      <c r="G33" s="11" t="s">
        <v>31</v>
      </c>
      <c r="H33" s="11" t="s">
        <v>352</v>
      </c>
      <c r="I33" s="11" t="s">
        <v>353</v>
      </c>
      <c r="J33" s="12">
        <v>546916</v>
      </c>
      <c r="K33" s="11" t="s">
        <v>354</v>
      </c>
      <c r="L33" s="11" t="s">
        <v>355</v>
      </c>
      <c r="M33" s="11" t="s">
        <v>356</v>
      </c>
      <c r="N33" s="12">
        <v>21705</v>
      </c>
      <c r="O33" s="11" t="s">
        <v>357</v>
      </c>
      <c r="P33" s="12">
        <v>0</v>
      </c>
      <c r="Q33" s="15">
        <f>IFERROR(VLOOKUP(F33,'[1]Colombia Radio'!$C$2:$E$97118,2,0),0)</f>
        <v>0</v>
      </c>
      <c r="R33" s="15">
        <f t="shared" si="0"/>
        <v>0</v>
      </c>
      <c r="S33" s="15">
        <f>IFERROR(VLOOKUP(F33,'[1]Colombia Radio'!$C$2:$E$69000,3,0),0)</f>
        <v>0</v>
      </c>
      <c r="T33" s="15">
        <f>IFERROR(VLOOKUP(F33,'[1]Colombia Radio'!$C$2:$F$69000,4,0),0)</f>
        <v>0</v>
      </c>
      <c r="U33" s="15">
        <f t="shared" si="1"/>
        <v>568621</v>
      </c>
      <c r="V33" s="15">
        <f t="shared" si="2"/>
        <v>568621</v>
      </c>
      <c r="W33" s="16">
        <f t="shared" si="3"/>
        <v>0</v>
      </c>
      <c r="X33" s="11" t="s">
        <v>358</v>
      </c>
      <c r="Y33" s="11" t="s">
        <v>39</v>
      </c>
      <c r="Z33" s="11"/>
    </row>
    <row r="34" spans="1:26" ht="14.4" x14ac:dyDescent="0.3">
      <c r="A34" s="2" t="s">
        <v>26</v>
      </c>
      <c r="B34" s="2" t="s">
        <v>359</v>
      </c>
      <c r="C34" s="3">
        <v>33</v>
      </c>
      <c r="D34" s="4" t="s">
        <v>360</v>
      </c>
      <c r="E34" s="2" t="s">
        <v>361</v>
      </c>
      <c r="F34" s="2" t="s">
        <v>362</v>
      </c>
      <c r="G34" s="5" t="s">
        <v>31</v>
      </c>
      <c r="H34" s="5" t="s">
        <v>363</v>
      </c>
      <c r="I34" s="5" t="s">
        <v>364</v>
      </c>
      <c r="J34" s="6">
        <v>546100</v>
      </c>
      <c r="K34" s="5" t="s">
        <v>365</v>
      </c>
      <c r="L34" s="5" t="s">
        <v>366</v>
      </c>
      <c r="M34" s="5" t="s">
        <v>367</v>
      </c>
      <c r="N34" s="6">
        <v>11106</v>
      </c>
      <c r="O34" s="5" t="s">
        <v>368</v>
      </c>
      <c r="P34" s="6">
        <v>0</v>
      </c>
      <c r="Q34" s="7">
        <v>245380</v>
      </c>
      <c r="R34" s="7">
        <f t="shared" si="0"/>
        <v>9088.1481481481478</v>
      </c>
      <c r="S34" s="7">
        <v>46</v>
      </c>
      <c r="T34" s="7">
        <v>5126</v>
      </c>
      <c r="U34" s="7">
        <f t="shared" si="1"/>
        <v>557206</v>
      </c>
      <c r="V34" s="7">
        <f t="shared" si="2"/>
        <v>566294.1481481482</v>
      </c>
      <c r="W34" s="8">
        <f t="shared" si="3"/>
        <v>1.6048458522602633E-2</v>
      </c>
      <c r="X34" s="5" t="s">
        <v>369</v>
      </c>
      <c r="Y34" s="5" t="s">
        <v>39</v>
      </c>
      <c r="Z34" s="5" t="s">
        <v>370</v>
      </c>
    </row>
    <row r="35" spans="1:26" ht="14.4" x14ac:dyDescent="0.3">
      <c r="A35" s="9" t="s">
        <v>26</v>
      </c>
      <c r="B35" s="9" t="s">
        <v>371</v>
      </c>
      <c r="C35" s="10">
        <v>34</v>
      </c>
      <c r="D35" s="4" t="s">
        <v>372</v>
      </c>
      <c r="E35" s="9" t="s">
        <v>373</v>
      </c>
      <c r="F35" s="9" t="s">
        <v>374</v>
      </c>
      <c r="G35" s="11" t="s">
        <v>31</v>
      </c>
      <c r="H35" s="11" t="s">
        <v>375</v>
      </c>
      <c r="I35" s="11" t="s">
        <v>376</v>
      </c>
      <c r="J35" s="12">
        <v>502815</v>
      </c>
      <c r="K35" s="11" t="s">
        <v>377</v>
      </c>
      <c r="L35" s="11" t="s">
        <v>31</v>
      </c>
      <c r="M35" s="11" t="s">
        <v>31</v>
      </c>
      <c r="N35" s="12">
        <v>0</v>
      </c>
      <c r="O35" s="11" t="s">
        <v>31</v>
      </c>
      <c r="P35" s="12">
        <v>0</v>
      </c>
      <c r="Q35" s="13">
        <v>1516985</v>
      </c>
      <c r="R35" s="13">
        <f t="shared" si="0"/>
        <v>56184.629629629628</v>
      </c>
      <c r="S35" s="13">
        <v>74</v>
      </c>
      <c r="T35" s="13">
        <v>337</v>
      </c>
      <c r="U35" s="13">
        <f t="shared" si="1"/>
        <v>502815</v>
      </c>
      <c r="V35" s="13">
        <f t="shared" si="2"/>
        <v>558999.62962962966</v>
      </c>
      <c r="W35" s="14">
        <f t="shared" si="3"/>
        <v>0.10050924303269265</v>
      </c>
      <c r="X35" s="11" t="s">
        <v>378</v>
      </c>
      <c r="Y35" s="11" t="s">
        <v>39</v>
      </c>
      <c r="Z35" s="11" t="s">
        <v>379</v>
      </c>
    </row>
    <row r="36" spans="1:26" ht="14.4" x14ac:dyDescent="0.3">
      <c r="A36" s="2" t="s">
        <v>26</v>
      </c>
      <c r="B36" s="2" t="s">
        <v>380</v>
      </c>
      <c r="C36" s="3">
        <v>35</v>
      </c>
      <c r="D36" s="4" t="s">
        <v>381</v>
      </c>
      <c r="E36" s="2" t="s">
        <v>382</v>
      </c>
      <c r="F36" s="2" t="s">
        <v>383</v>
      </c>
      <c r="G36" s="5" t="s">
        <v>31</v>
      </c>
      <c r="H36" s="5" t="s">
        <v>384</v>
      </c>
      <c r="I36" s="5" t="s">
        <v>385</v>
      </c>
      <c r="J36" s="6">
        <v>409190</v>
      </c>
      <c r="K36" s="5" t="s">
        <v>386</v>
      </c>
      <c r="L36" s="5" t="s">
        <v>387</v>
      </c>
      <c r="M36" s="5" t="s">
        <v>388</v>
      </c>
      <c r="N36" s="6">
        <v>8706</v>
      </c>
      <c r="O36" s="5" t="s">
        <v>389</v>
      </c>
      <c r="P36" s="6">
        <v>0</v>
      </c>
      <c r="Q36" s="7">
        <v>3793701</v>
      </c>
      <c r="R36" s="7">
        <f t="shared" si="0"/>
        <v>140507.44444444444</v>
      </c>
      <c r="S36" s="7">
        <v>209</v>
      </c>
      <c r="T36" s="7">
        <v>76</v>
      </c>
      <c r="U36" s="7">
        <f t="shared" si="1"/>
        <v>417896</v>
      </c>
      <c r="V36" s="7">
        <f t="shared" si="2"/>
        <v>558403.4444444445</v>
      </c>
      <c r="W36" s="8">
        <f t="shared" si="3"/>
        <v>0.2516235274734655</v>
      </c>
      <c r="X36" s="5" t="s">
        <v>390</v>
      </c>
      <c r="Y36" s="5" t="s">
        <v>39</v>
      </c>
      <c r="Z36" s="5" t="s">
        <v>391</v>
      </c>
    </row>
    <row r="37" spans="1:26" ht="14.4" x14ac:dyDescent="0.3">
      <c r="A37" s="9" t="s">
        <v>26</v>
      </c>
      <c r="B37" s="9" t="s">
        <v>392</v>
      </c>
      <c r="C37" s="10">
        <v>36</v>
      </c>
      <c r="D37" s="4" t="s">
        <v>283</v>
      </c>
      <c r="E37" s="9" t="s">
        <v>284</v>
      </c>
      <c r="F37" s="9" t="s">
        <v>393</v>
      </c>
      <c r="G37" s="11" t="s">
        <v>31</v>
      </c>
      <c r="H37" s="11" t="s">
        <v>394</v>
      </c>
      <c r="I37" s="11" t="s">
        <v>395</v>
      </c>
      <c r="J37" s="12">
        <v>401592</v>
      </c>
      <c r="K37" s="11" t="s">
        <v>396</v>
      </c>
      <c r="L37" s="11" t="s">
        <v>31</v>
      </c>
      <c r="M37" s="11" t="s">
        <v>31</v>
      </c>
      <c r="N37" s="12">
        <v>0</v>
      </c>
      <c r="O37" s="11" t="s">
        <v>31</v>
      </c>
      <c r="P37" s="12">
        <v>0</v>
      </c>
      <c r="Q37" s="13">
        <v>4098093</v>
      </c>
      <c r="R37" s="13">
        <f t="shared" si="0"/>
        <v>151781.22222222222</v>
      </c>
      <c r="S37" s="13">
        <v>246</v>
      </c>
      <c r="T37" s="13">
        <v>66</v>
      </c>
      <c r="U37" s="13">
        <f t="shared" si="1"/>
        <v>401592</v>
      </c>
      <c r="V37" s="13">
        <f t="shared" si="2"/>
        <v>553373.22222222225</v>
      </c>
      <c r="W37" s="14">
        <f t="shared" si="3"/>
        <v>0.27428364099857055</v>
      </c>
      <c r="X37" s="11" t="s">
        <v>397</v>
      </c>
      <c r="Y37" s="11" t="s">
        <v>39</v>
      </c>
      <c r="Z37" s="11" t="s">
        <v>398</v>
      </c>
    </row>
    <row r="38" spans="1:26" ht="14.4" x14ac:dyDescent="0.3">
      <c r="A38" s="2" t="s">
        <v>26</v>
      </c>
      <c r="B38" s="2" t="s">
        <v>399</v>
      </c>
      <c r="C38" s="3">
        <v>37</v>
      </c>
      <c r="D38" s="4" t="s">
        <v>313</v>
      </c>
      <c r="E38" s="2" t="s">
        <v>314</v>
      </c>
      <c r="F38" s="4" t="s">
        <v>400</v>
      </c>
      <c r="G38" s="5" t="s">
        <v>31</v>
      </c>
      <c r="H38" s="5" t="s">
        <v>401</v>
      </c>
      <c r="I38" s="5" t="s">
        <v>402</v>
      </c>
      <c r="J38" s="6">
        <v>450607</v>
      </c>
      <c r="K38" s="5" t="s">
        <v>403</v>
      </c>
      <c r="L38" s="5" t="s">
        <v>404</v>
      </c>
      <c r="M38" s="5" t="s">
        <v>405</v>
      </c>
      <c r="N38" s="6">
        <v>393</v>
      </c>
      <c r="O38" s="5" t="s">
        <v>406</v>
      </c>
      <c r="P38" s="6">
        <v>0</v>
      </c>
      <c r="Q38" s="7">
        <v>2425493</v>
      </c>
      <c r="R38" s="7">
        <f t="shared" si="0"/>
        <v>89833.074074074073</v>
      </c>
      <c r="S38" s="7">
        <v>171</v>
      </c>
      <c r="T38" s="7">
        <v>142</v>
      </c>
      <c r="U38" s="7">
        <f t="shared" si="1"/>
        <v>451000</v>
      </c>
      <c r="V38" s="7">
        <f t="shared" si="2"/>
        <v>540833.07407407404</v>
      </c>
      <c r="W38" s="8">
        <f t="shared" si="3"/>
        <v>0.16610129516925637</v>
      </c>
      <c r="X38" s="5" t="s">
        <v>407</v>
      </c>
      <c r="Y38" s="5" t="s">
        <v>39</v>
      </c>
      <c r="Z38" s="5" t="s">
        <v>408</v>
      </c>
    </row>
    <row r="39" spans="1:26" ht="14.4" x14ac:dyDescent="0.3">
      <c r="A39" s="9" t="s">
        <v>26</v>
      </c>
      <c r="B39" s="9" t="s">
        <v>409</v>
      </c>
      <c r="C39" s="10">
        <v>38</v>
      </c>
      <c r="D39" s="4" t="s">
        <v>410</v>
      </c>
      <c r="E39" s="9" t="s">
        <v>411</v>
      </c>
      <c r="F39" s="4" t="s">
        <v>412</v>
      </c>
      <c r="G39" s="11" t="s">
        <v>31</v>
      </c>
      <c r="H39" s="11" t="s">
        <v>413</v>
      </c>
      <c r="I39" s="11" t="s">
        <v>414</v>
      </c>
      <c r="J39" s="12">
        <v>505929</v>
      </c>
      <c r="K39" s="11" t="s">
        <v>415</v>
      </c>
      <c r="L39" s="11" t="s">
        <v>31</v>
      </c>
      <c r="M39" s="11" t="s">
        <v>31</v>
      </c>
      <c r="N39" s="12">
        <v>0</v>
      </c>
      <c r="O39" s="11" t="s">
        <v>31</v>
      </c>
      <c r="P39" s="12">
        <v>0</v>
      </c>
      <c r="Q39" s="13">
        <v>768370</v>
      </c>
      <c r="R39" s="13">
        <f t="shared" si="0"/>
        <v>28458.14814814815</v>
      </c>
      <c r="S39" s="13">
        <v>87</v>
      </c>
      <c r="T39" s="13">
        <v>1329</v>
      </c>
      <c r="U39" s="13">
        <f t="shared" si="1"/>
        <v>505929</v>
      </c>
      <c r="V39" s="13">
        <f t="shared" si="2"/>
        <v>534387.1481481482</v>
      </c>
      <c r="W39" s="14">
        <f t="shared" si="3"/>
        <v>5.3253803439634172E-2</v>
      </c>
      <c r="X39" s="11" t="s">
        <v>416</v>
      </c>
      <c r="Y39" s="11" t="s">
        <v>39</v>
      </c>
      <c r="Z39" s="11" t="s">
        <v>417</v>
      </c>
    </row>
    <row r="40" spans="1:26" ht="14.4" x14ac:dyDescent="0.3">
      <c r="A40" s="2" t="s">
        <v>26</v>
      </c>
      <c r="B40" s="2" t="s">
        <v>418</v>
      </c>
      <c r="C40" s="3">
        <v>39</v>
      </c>
      <c r="D40" s="4" t="s">
        <v>419</v>
      </c>
      <c r="E40" s="2" t="s">
        <v>200</v>
      </c>
      <c r="F40" s="2" t="s">
        <v>420</v>
      </c>
      <c r="G40" s="5" t="s">
        <v>31</v>
      </c>
      <c r="H40" s="5" t="s">
        <v>421</v>
      </c>
      <c r="I40" s="5" t="s">
        <v>422</v>
      </c>
      <c r="J40" s="6">
        <v>528744</v>
      </c>
      <c r="K40" s="5" t="s">
        <v>423</v>
      </c>
      <c r="L40" s="5" t="s">
        <v>31</v>
      </c>
      <c r="M40" s="5" t="s">
        <v>31</v>
      </c>
      <c r="N40" s="6">
        <v>0</v>
      </c>
      <c r="O40" s="5" t="s">
        <v>31</v>
      </c>
      <c r="P40" s="6">
        <v>0</v>
      </c>
      <c r="Q40" s="7">
        <v>0</v>
      </c>
      <c r="R40" s="7">
        <f t="shared" si="0"/>
        <v>0</v>
      </c>
      <c r="S40" s="7">
        <v>0</v>
      </c>
      <c r="T40" s="7">
        <v>0</v>
      </c>
      <c r="U40" s="7">
        <f t="shared" si="1"/>
        <v>528744</v>
      </c>
      <c r="V40" s="7">
        <f t="shared" si="2"/>
        <v>528744</v>
      </c>
      <c r="W40" s="8">
        <f t="shared" si="3"/>
        <v>0</v>
      </c>
      <c r="X40" s="5" t="s">
        <v>424</v>
      </c>
      <c r="Y40" s="5" t="s">
        <v>39</v>
      </c>
      <c r="Z40" s="5"/>
    </row>
    <row r="41" spans="1:26" ht="14.4" x14ac:dyDescent="0.3">
      <c r="A41" s="9" t="s">
        <v>26</v>
      </c>
      <c r="B41" s="9" t="s">
        <v>425</v>
      </c>
      <c r="C41" s="10">
        <v>40</v>
      </c>
      <c r="D41" s="4" t="s">
        <v>426</v>
      </c>
      <c r="E41" s="9" t="s">
        <v>427</v>
      </c>
      <c r="F41" s="9" t="s">
        <v>428</v>
      </c>
      <c r="G41" s="11" t="s">
        <v>31</v>
      </c>
      <c r="H41" s="11" t="s">
        <v>429</v>
      </c>
      <c r="I41" s="11" t="s">
        <v>430</v>
      </c>
      <c r="J41" s="12">
        <v>489169</v>
      </c>
      <c r="K41" s="11" t="s">
        <v>431</v>
      </c>
      <c r="L41" s="11" t="s">
        <v>432</v>
      </c>
      <c r="M41" s="11" t="s">
        <v>433</v>
      </c>
      <c r="N41" s="12">
        <v>11372</v>
      </c>
      <c r="O41" s="11" t="s">
        <v>434</v>
      </c>
      <c r="P41" s="12">
        <v>0</v>
      </c>
      <c r="Q41" s="13">
        <v>0</v>
      </c>
      <c r="R41" s="13">
        <f t="shared" si="0"/>
        <v>0</v>
      </c>
      <c r="S41" s="13">
        <v>0</v>
      </c>
      <c r="T41" s="13">
        <v>0</v>
      </c>
      <c r="U41" s="13">
        <f t="shared" si="1"/>
        <v>500541</v>
      </c>
      <c r="V41" s="13">
        <f t="shared" si="2"/>
        <v>500541</v>
      </c>
      <c r="W41" s="14">
        <f t="shared" si="3"/>
        <v>0</v>
      </c>
      <c r="X41" s="11" t="s">
        <v>435</v>
      </c>
      <c r="Y41" s="11" t="s">
        <v>39</v>
      </c>
      <c r="Z41" s="11" t="s">
        <v>436</v>
      </c>
    </row>
    <row r="42" spans="1:26" ht="14.4" x14ac:dyDescent="0.3">
      <c r="A42" s="2" t="s">
        <v>26</v>
      </c>
      <c r="B42" s="2" t="s">
        <v>437</v>
      </c>
      <c r="C42" s="3">
        <v>41</v>
      </c>
      <c r="D42" s="4" t="s">
        <v>438</v>
      </c>
      <c r="E42" s="2" t="s">
        <v>439</v>
      </c>
      <c r="F42" s="2" t="s">
        <v>440</v>
      </c>
      <c r="G42" s="5" t="s">
        <v>31</v>
      </c>
      <c r="H42" s="5" t="s">
        <v>441</v>
      </c>
      <c r="I42" s="5" t="s">
        <v>442</v>
      </c>
      <c r="J42" s="6">
        <v>464513</v>
      </c>
      <c r="K42" s="5" t="s">
        <v>443</v>
      </c>
      <c r="L42" s="5" t="s">
        <v>444</v>
      </c>
      <c r="M42" s="5" t="s">
        <v>445</v>
      </c>
      <c r="N42" s="6">
        <v>10493</v>
      </c>
      <c r="O42" s="5" t="s">
        <v>446</v>
      </c>
      <c r="P42" s="6">
        <v>0</v>
      </c>
      <c r="Q42" s="7">
        <v>665936</v>
      </c>
      <c r="R42" s="7">
        <f t="shared" si="0"/>
        <v>24664.296296296296</v>
      </c>
      <c r="S42" s="7">
        <v>15</v>
      </c>
      <c r="T42" s="7">
        <v>1628</v>
      </c>
      <c r="U42" s="7">
        <f t="shared" si="1"/>
        <v>475006</v>
      </c>
      <c r="V42" s="7">
        <f t="shared" si="2"/>
        <v>499670.29629629629</v>
      </c>
      <c r="W42" s="8">
        <f t="shared" si="3"/>
        <v>4.9361141695064406E-2</v>
      </c>
      <c r="X42" s="5" t="s">
        <v>447</v>
      </c>
      <c r="Y42" s="5" t="s">
        <v>39</v>
      </c>
      <c r="Z42" s="5" t="s">
        <v>448</v>
      </c>
    </row>
    <row r="43" spans="1:26" ht="14.4" x14ac:dyDescent="0.3">
      <c r="A43" s="9" t="s">
        <v>26</v>
      </c>
      <c r="B43" s="9" t="s">
        <v>449</v>
      </c>
      <c r="C43" s="10">
        <v>42</v>
      </c>
      <c r="D43" s="4" t="s">
        <v>450</v>
      </c>
      <c r="E43" s="9" t="s">
        <v>451</v>
      </c>
      <c r="F43" s="4" t="s">
        <v>452</v>
      </c>
      <c r="G43" s="11" t="s">
        <v>31</v>
      </c>
      <c r="H43" s="11" t="s">
        <v>453</v>
      </c>
      <c r="I43" s="11" t="s">
        <v>454</v>
      </c>
      <c r="J43" s="12">
        <v>401952</v>
      </c>
      <c r="K43" s="11" t="s">
        <v>455</v>
      </c>
      <c r="L43" s="11" t="s">
        <v>31</v>
      </c>
      <c r="M43" s="11" t="s">
        <v>31</v>
      </c>
      <c r="N43" s="12">
        <v>0</v>
      </c>
      <c r="O43" s="11" t="s">
        <v>31</v>
      </c>
      <c r="P43" s="12">
        <v>0</v>
      </c>
      <c r="Q43" s="13">
        <v>2564497</v>
      </c>
      <c r="R43" s="13">
        <f t="shared" si="0"/>
        <v>94981.370370370365</v>
      </c>
      <c r="S43" s="13">
        <v>143</v>
      </c>
      <c r="T43" s="13">
        <v>119</v>
      </c>
      <c r="U43" s="13">
        <f t="shared" si="1"/>
        <v>401952</v>
      </c>
      <c r="V43" s="13">
        <f t="shared" si="2"/>
        <v>496933.37037037034</v>
      </c>
      <c r="W43" s="14">
        <f t="shared" si="3"/>
        <v>0.19113502138039073</v>
      </c>
      <c r="X43" s="11" t="s">
        <v>456</v>
      </c>
      <c r="Y43" s="11" t="s">
        <v>39</v>
      </c>
      <c r="Z43" s="11" t="s">
        <v>457</v>
      </c>
    </row>
    <row r="44" spans="1:26" ht="14.4" x14ac:dyDescent="0.3">
      <c r="A44" s="2" t="s">
        <v>26</v>
      </c>
      <c r="B44" s="2" t="s">
        <v>458</v>
      </c>
      <c r="C44" s="3">
        <v>43</v>
      </c>
      <c r="D44" s="4" t="s">
        <v>459</v>
      </c>
      <c r="E44" s="2" t="s">
        <v>460</v>
      </c>
      <c r="F44" s="4" t="s">
        <v>461</v>
      </c>
      <c r="G44" s="5" t="s">
        <v>31</v>
      </c>
      <c r="H44" s="5" t="s">
        <v>462</v>
      </c>
      <c r="I44" s="5" t="s">
        <v>463</v>
      </c>
      <c r="J44" s="6">
        <v>412707</v>
      </c>
      <c r="K44" s="5" t="s">
        <v>464</v>
      </c>
      <c r="L44" s="5" t="s">
        <v>465</v>
      </c>
      <c r="M44" s="5" t="s">
        <v>466</v>
      </c>
      <c r="N44" s="6">
        <v>8867</v>
      </c>
      <c r="O44" s="5" t="s">
        <v>467</v>
      </c>
      <c r="P44" s="6">
        <v>0</v>
      </c>
      <c r="Q44" s="7">
        <v>1945488</v>
      </c>
      <c r="R44" s="7">
        <f t="shared" si="0"/>
        <v>72055.111111111109</v>
      </c>
      <c r="S44" s="7">
        <v>155</v>
      </c>
      <c r="T44" s="7">
        <v>210</v>
      </c>
      <c r="U44" s="7">
        <f t="shared" si="1"/>
        <v>421574</v>
      </c>
      <c r="V44" s="7">
        <f t="shared" si="2"/>
        <v>493629.11111111112</v>
      </c>
      <c r="W44" s="8">
        <f t="shared" si="3"/>
        <v>0.14597014132517847</v>
      </c>
      <c r="X44" s="5" t="s">
        <v>468</v>
      </c>
      <c r="Y44" s="5" t="s">
        <v>39</v>
      </c>
      <c r="Z44" s="5" t="s">
        <v>469</v>
      </c>
    </row>
    <row r="45" spans="1:26" ht="14.4" x14ac:dyDescent="0.3">
      <c r="A45" s="9" t="s">
        <v>26</v>
      </c>
      <c r="B45" s="9" t="s">
        <v>470</v>
      </c>
      <c r="C45" s="10">
        <v>44</v>
      </c>
      <c r="D45" s="4" t="s">
        <v>471</v>
      </c>
      <c r="E45" s="9" t="s">
        <v>472</v>
      </c>
      <c r="F45" s="9" t="s">
        <v>473</v>
      </c>
      <c r="G45" s="11" t="s">
        <v>31</v>
      </c>
      <c r="H45" s="11" t="s">
        <v>474</v>
      </c>
      <c r="I45" s="11" t="s">
        <v>475</v>
      </c>
      <c r="J45" s="12">
        <v>492522</v>
      </c>
      <c r="K45" s="11" t="s">
        <v>476</v>
      </c>
      <c r="L45" s="11" t="s">
        <v>31</v>
      </c>
      <c r="M45" s="11" t="s">
        <v>31</v>
      </c>
      <c r="N45" s="12">
        <v>0</v>
      </c>
      <c r="O45" s="11" t="s">
        <v>31</v>
      </c>
      <c r="P45" s="12">
        <v>0</v>
      </c>
      <c r="Q45" s="13">
        <v>0</v>
      </c>
      <c r="R45" s="13">
        <f t="shared" si="0"/>
        <v>0</v>
      </c>
      <c r="S45" s="13">
        <v>0</v>
      </c>
      <c r="T45" s="13">
        <v>0</v>
      </c>
      <c r="U45" s="13">
        <f t="shared" si="1"/>
        <v>492522</v>
      </c>
      <c r="V45" s="13">
        <f t="shared" si="2"/>
        <v>492522</v>
      </c>
      <c r="W45" s="14">
        <f t="shared" si="3"/>
        <v>0</v>
      </c>
      <c r="X45" s="11" t="s">
        <v>477</v>
      </c>
      <c r="Y45" s="11" t="s">
        <v>39</v>
      </c>
      <c r="Z45" s="11" t="s">
        <v>478</v>
      </c>
    </row>
    <row r="46" spans="1:26" ht="14.4" x14ac:dyDescent="0.3">
      <c r="A46" s="2" t="s">
        <v>26</v>
      </c>
      <c r="B46" s="2" t="s">
        <v>479</v>
      </c>
      <c r="C46" s="3">
        <v>45</v>
      </c>
      <c r="D46" s="4" t="s">
        <v>480</v>
      </c>
      <c r="E46" s="2" t="s">
        <v>481</v>
      </c>
      <c r="F46" s="2" t="s">
        <v>482</v>
      </c>
      <c r="G46" s="5" t="s">
        <v>31</v>
      </c>
      <c r="H46" s="5" t="s">
        <v>483</v>
      </c>
      <c r="I46" s="5" t="s">
        <v>484</v>
      </c>
      <c r="J46" s="6">
        <v>248666</v>
      </c>
      <c r="K46" s="5" t="s">
        <v>485</v>
      </c>
      <c r="L46" s="5" t="s">
        <v>486</v>
      </c>
      <c r="M46" s="5" t="s">
        <v>487</v>
      </c>
      <c r="N46" s="6">
        <v>4972</v>
      </c>
      <c r="O46" s="5" t="s">
        <v>488</v>
      </c>
      <c r="P46" s="6">
        <v>0</v>
      </c>
      <c r="Q46" s="15">
        <f>IFERROR(VLOOKUP(F46,'[1]Colombia Radio'!$C$2:$E$97118,2,0),0)</f>
        <v>0</v>
      </c>
      <c r="R46" s="15">
        <f t="shared" si="0"/>
        <v>0</v>
      </c>
      <c r="S46" s="15">
        <f>IFERROR(VLOOKUP(F46,'[1]Colombia Radio'!$C$2:$E$69000,3,0),0)</f>
        <v>0</v>
      </c>
      <c r="T46" s="15">
        <f>IFERROR(VLOOKUP(F46,'[1]Colombia Radio'!$C$2:$F$69000,4,0),0)</f>
        <v>0</v>
      </c>
      <c r="U46" s="15">
        <f t="shared" si="1"/>
        <v>253638</v>
      </c>
      <c r="V46" s="15">
        <f t="shared" si="2"/>
        <v>253638</v>
      </c>
      <c r="W46" s="16">
        <f t="shared" si="3"/>
        <v>0</v>
      </c>
      <c r="X46" s="5" t="s">
        <v>489</v>
      </c>
      <c r="Y46" s="5" t="s">
        <v>39</v>
      </c>
      <c r="Z46" s="5" t="s">
        <v>490</v>
      </c>
    </row>
    <row r="47" spans="1:26" ht="14.4" x14ac:dyDescent="0.3">
      <c r="A47" s="2" t="s">
        <v>26</v>
      </c>
      <c r="B47" s="2" t="s">
        <v>491</v>
      </c>
      <c r="C47" s="10">
        <v>46</v>
      </c>
      <c r="D47" s="4" t="s">
        <v>492</v>
      </c>
      <c r="E47" s="2" t="s">
        <v>493</v>
      </c>
      <c r="F47" s="4" t="s">
        <v>494</v>
      </c>
      <c r="G47" s="5" t="s">
        <v>31</v>
      </c>
      <c r="H47" s="5" t="s">
        <v>495</v>
      </c>
      <c r="I47" s="5" t="s">
        <v>496</v>
      </c>
      <c r="J47" s="6">
        <v>335761</v>
      </c>
      <c r="K47" s="5" t="s">
        <v>497</v>
      </c>
      <c r="L47" s="5" t="s">
        <v>498</v>
      </c>
      <c r="M47" s="5" t="s">
        <v>499</v>
      </c>
      <c r="N47" s="6">
        <v>6894</v>
      </c>
      <c r="O47" s="5" t="s">
        <v>500</v>
      </c>
      <c r="P47" s="6">
        <v>0</v>
      </c>
      <c r="Q47" s="7">
        <v>4031900</v>
      </c>
      <c r="R47" s="7">
        <f t="shared" si="0"/>
        <v>149329.62962962964</v>
      </c>
      <c r="S47" s="7">
        <v>148</v>
      </c>
      <c r="T47" s="7">
        <v>69</v>
      </c>
      <c r="U47" s="7">
        <f t="shared" si="1"/>
        <v>342655</v>
      </c>
      <c r="V47" s="7">
        <f t="shared" si="2"/>
        <v>491984.62962962966</v>
      </c>
      <c r="W47" s="8">
        <f t="shared" si="3"/>
        <v>0.303524989677109</v>
      </c>
      <c r="X47" s="5" t="s">
        <v>501</v>
      </c>
      <c r="Y47" s="5" t="s">
        <v>39</v>
      </c>
      <c r="Z47" s="5" t="s">
        <v>502</v>
      </c>
    </row>
    <row r="48" spans="1:26" ht="14.4" x14ac:dyDescent="0.3">
      <c r="A48" s="9" t="s">
        <v>26</v>
      </c>
      <c r="B48" s="9" t="s">
        <v>503</v>
      </c>
      <c r="C48" s="3">
        <v>47</v>
      </c>
      <c r="D48" s="4" t="s">
        <v>313</v>
      </c>
      <c r="E48" s="9" t="s">
        <v>314</v>
      </c>
      <c r="F48" s="4" t="s">
        <v>504</v>
      </c>
      <c r="G48" s="11" t="s">
        <v>31</v>
      </c>
      <c r="H48" s="11" t="s">
        <v>505</v>
      </c>
      <c r="I48" s="11" t="s">
        <v>506</v>
      </c>
      <c r="J48" s="12">
        <v>365621</v>
      </c>
      <c r="K48" s="11" t="s">
        <v>507</v>
      </c>
      <c r="L48" s="11" t="s">
        <v>508</v>
      </c>
      <c r="M48" s="11" t="s">
        <v>509</v>
      </c>
      <c r="N48" s="12">
        <v>170</v>
      </c>
      <c r="O48" s="11" t="s">
        <v>510</v>
      </c>
      <c r="P48" s="12">
        <v>0</v>
      </c>
      <c r="Q48" s="13">
        <v>3333269</v>
      </c>
      <c r="R48" s="13">
        <f t="shared" si="0"/>
        <v>123454.4074074074</v>
      </c>
      <c r="S48" s="13">
        <v>222</v>
      </c>
      <c r="T48" s="13">
        <v>89</v>
      </c>
      <c r="U48" s="13">
        <f t="shared" si="1"/>
        <v>365791</v>
      </c>
      <c r="V48" s="13">
        <f t="shared" si="2"/>
        <v>489245.40740740742</v>
      </c>
      <c r="W48" s="14">
        <f t="shared" si="3"/>
        <v>0.252336364405775</v>
      </c>
      <c r="X48" s="11" t="s">
        <v>511</v>
      </c>
      <c r="Y48" s="11" t="s">
        <v>39</v>
      </c>
      <c r="Z48" s="11" t="s">
        <v>512</v>
      </c>
    </row>
    <row r="49" spans="1:26" ht="14.4" x14ac:dyDescent="0.3">
      <c r="A49" s="2" t="s">
        <v>26</v>
      </c>
      <c r="B49" s="2" t="s">
        <v>513</v>
      </c>
      <c r="C49" s="10">
        <v>48</v>
      </c>
      <c r="D49" s="4" t="s">
        <v>514</v>
      </c>
      <c r="E49" s="2" t="s">
        <v>515</v>
      </c>
      <c r="F49" s="2" t="s">
        <v>516</v>
      </c>
      <c r="G49" s="5" t="s">
        <v>31</v>
      </c>
      <c r="H49" s="5" t="s">
        <v>517</v>
      </c>
      <c r="I49" s="5" t="s">
        <v>518</v>
      </c>
      <c r="J49" s="6">
        <v>434338</v>
      </c>
      <c r="K49" s="5" t="s">
        <v>519</v>
      </c>
      <c r="L49" s="5" t="s">
        <v>520</v>
      </c>
      <c r="M49" s="5" t="s">
        <v>521</v>
      </c>
      <c r="N49" s="6">
        <v>12052</v>
      </c>
      <c r="O49" s="5" t="s">
        <v>522</v>
      </c>
      <c r="P49" s="6">
        <v>0</v>
      </c>
      <c r="Q49" s="7">
        <v>1073753</v>
      </c>
      <c r="R49" s="7">
        <f t="shared" si="0"/>
        <v>39768.629629629628</v>
      </c>
      <c r="S49" s="7">
        <v>80</v>
      </c>
      <c r="T49" s="7">
        <v>738</v>
      </c>
      <c r="U49" s="7">
        <f t="shared" si="1"/>
        <v>446390</v>
      </c>
      <c r="V49" s="7">
        <f t="shared" si="2"/>
        <v>486158.62962962961</v>
      </c>
      <c r="W49" s="8">
        <f t="shared" si="3"/>
        <v>8.1801756064530981E-2</v>
      </c>
      <c r="X49" s="5" t="s">
        <v>523</v>
      </c>
      <c r="Y49" s="5" t="s">
        <v>39</v>
      </c>
      <c r="Z49" s="5" t="s">
        <v>524</v>
      </c>
    </row>
    <row r="50" spans="1:26" ht="14.4" x14ac:dyDescent="0.3">
      <c r="A50" s="9" t="s">
        <v>26</v>
      </c>
      <c r="B50" s="9" t="s">
        <v>525</v>
      </c>
      <c r="C50" s="3">
        <v>49</v>
      </c>
      <c r="D50" s="4" t="s">
        <v>526</v>
      </c>
      <c r="E50" s="9" t="s">
        <v>527</v>
      </c>
      <c r="F50" s="4" t="s">
        <v>528</v>
      </c>
      <c r="G50" s="11" t="s">
        <v>31</v>
      </c>
      <c r="H50" s="11" t="s">
        <v>529</v>
      </c>
      <c r="I50" s="11" t="s">
        <v>530</v>
      </c>
      <c r="J50" s="12">
        <v>422521</v>
      </c>
      <c r="K50" s="11" t="s">
        <v>531</v>
      </c>
      <c r="L50" s="11" t="s">
        <v>532</v>
      </c>
      <c r="M50" s="11" t="s">
        <v>533</v>
      </c>
      <c r="N50" s="12">
        <v>7587</v>
      </c>
      <c r="O50" s="11" t="s">
        <v>534</v>
      </c>
      <c r="P50" s="12">
        <v>0</v>
      </c>
      <c r="Q50" s="13">
        <v>1505965</v>
      </c>
      <c r="R50" s="13">
        <f t="shared" si="0"/>
        <v>55776.481481481482</v>
      </c>
      <c r="S50" s="13">
        <v>142</v>
      </c>
      <c r="T50" s="13">
        <v>343</v>
      </c>
      <c r="U50" s="13">
        <f t="shared" si="1"/>
        <v>430108</v>
      </c>
      <c r="V50" s="13">
        <f t="shared" si="2"/>
        <v>485884.48148148146</v>
      </c>
      <c r="W50" s="14">
        <f t="shared" si="3"/>
        <v>0.11479370839631826</v>
      </c>
      <c r="X50" s="11" t="s">
        <v>535</v>
      </c>
      <c r="Y50" s="11" t="s">
        <v>39</v>
      </c>
      <c r="Z50" s="11" t="s">
        <v>536</v>
      </c>
    </row>
    <row r="51" spans="1:26" ht="14.4" x14ac:dyDescent="0.3">
      <c r="A51" s="2" t="s">
        <v>26</v>
      </c>
      <c r="B51" s="2" t="s">
        <v>537</v>
      </c>
      <c r="C51" s="10">
        <v>50</v>
      </c>
      <c r="D51" s="4" t="s">
        <v>514</v>
      </c>
      <c r="E51" s="2" t="s">
        <v>515</v>
      </c>
      <c r="F51" s="2" t="s">
        <v>538</v>
      </c>
      <c r="G51" s="5" t="s">
        <v>31</v>
      </c>
      <c r="H51" s="5" t="s">
        <v>539</v>
      </c>
      <c r="I51" s="5" t="s">
        <v>540</v>
      </c>
      <c r="J51" s="6">
        <v>328693</v>
      </c>
      <c r="K51" s="5" t="s">
        <v>541</v>
      </c>
      <c r="L51" s="5" t="s">
        <v>542</v>
      </c>
      <c r="M51" s="5" t="s">
        <v>543</v>
      </c>
      <c r="N51" s="6">
        <v>5511</v>
      </c>
      <c r="O51" s="5" t="s">
        <v>544</v>
      </c>
      <c r="P51" s="6">
        <v>0</v>
      </c>
      <c r="Q51" s="7">
        <v>3977503</v>
      </c>
      <c r="R51" s="7">
        <f t="shared" si="0"/>
        <v>147314.92592592593</v>
      </c>
      <c r="S51" s="7">
        <v>248</v>
      </c>
      <c r="T51" s="7">
        <v>71</v>
      </c>
      <c r="U51" s="7">
        <f t="shared" si="1"/>
        <v>334204</v>
      </c>
      <c r="V51" s="7">
        <f t="shared" si="2"/>
        <v>481518.92592592596</v>
      </c>
      <c r="W51" s="8">
        <f t="shared" si="3"/>
        <v>0.30593797666966049</v>
      </c>
      <c r="X51" s="5" t="s">
        <v>545</v>
      </c>
      <c r="Y51" s="5" t="s">
        <v>39</v>
      </c>
      <c r="Z51" s="5" t="s">
        <v>546</v>
      </c>
    </row>
    <row r="52" spans="1:26" ht="14.4" x14ac:dyDescent="0.3">
      <c r="A52" s="9" t="s">
        <v>26</v>
      </c>
      <c r="B52" s="9" t="s">
        <v>547</v>
      </c>
      <c r="C52" s="3">
        <v>51</v>
      </c>
      <c r="D52" s="4" t="s">
        <v>548</v>
      </c>
      <c r="E52" s="9" t="s">
        <v>549</v>
      </c>
      <c r="F52" s="4" t="s">
        <v>550</v>
      </c>
      <c r="G52" s="11" t="s">
        <v>31</v>
      </c>
      <c r="H52" s="11" t="s">
        <v>551</v>
      </c>
      <c r="I52" s="11" t="s">
        <v>552</v>
      </c>
      <c r="J52" s="12">
        <v>315959</v>
      </c>
      <c r="K52" s="11" t="s">
        <v>553</v>
      </c>
      <c r="L52" s="11" t="s">
        <v>31</v>
      </c>
      <c r="M52" s="11" t="s">
        <v>31</v>
      </c>
      <c r="N52" s="12">
        <v>0</v>
      </c>
      <c r="O52" s="11" t="s">
        <v>31</v>
      </c>
      <c r="P52" s="12">
        <v>0</v>
      </c>
      <c r="Q52" s="13">
        <v>4464978</v>
      </c>
      <c r="R52" s="13">
        <f t="shared" si="0"/>
        <v>165369.55555555556</v>
      </c>
      <c r="S52" s="13">
        <v>287</v>
      </c>
      <c r="T52" s="13">
        <v>58</v>
      </c>
      <c r="U52" s="13">
        <f t="shared" si="1"/>
        <v>315959</v>
      </c>
      <c r="V52" s="13">
        <f t="shared" si="2"/>
        <v>481328.55555555556</v>
      </c>
      <c r="W52" s="14">
        <f t="shared" si="3"/>
        <v>0.34356896894405925</v>
      </c>
      <c r="X52" s="11" t="s">
        <v>554</v>
      </c>
      <c r="Y52" s="11" t="s">
        <v>39</v>
      </c>
      <c r="Z52" s="11" t="s">
        <v>555</v>
      </c>
    </row>
    <row r="53" spans="1:26" ht="14.4" x14ac:dyDescent="0.3">
      <c r="A53" s="2" t="s">
        <v>26</v>
      </c>
      <c r="B53" s="2" t="s">
        <v>556</v>
      </c>
      <c r="C53" s="10">
        <v>52</v>
      </c>
      <c r="D53" s="4" t="s">
        <v>557</v>
      </c>
      <c r="E53" s="2" t="s">
        <v>558</v>
      </c>
      <c r="F53" s="4" t="s">
        <v>559</v>
      </c>
      <c r="G53" s="5" t="s">
        <v>31</v>
      </c>
      <c r="H53" s="5" t="s">
        <v>560</v>
      </c>
      <c r="I53" s="5" t="s">
        <v>561</v>
      </c>
      <c r="J53" s="6">
        <v>350083</v>
      </c>
      <c r="K53" s="5" t="s">
        <v>562</v>
      </c>
      <c r="L53" s="5" t="s">
        <v>563</v>
      </c>
      <c r="M53" s="5" t="s">
        <v>564</v>
      </c>
      <c r="N53" s="6">
        <v>8432</v>
      </c>
      <c r="O53" s="5" t="s">
        <v>565</v>
      </c>
      <c r="P53" s="6">
        <v>0</v>
      </c>
      <c r="Q53" s="7">
        <v>2975507</v>
      </c>
      <c r="R53" s="7">
        <f t="shared" si="0"/>
        <v>110203.96296296296</v>
      </c>
      <c r="S53" s="7">
        <v>108</v>
      </c>
      <c r="T53" s="7">
        <v>99</v>
      </c>
      <c r="U53" s="7">
        <f t="shared" si="1"/>
        <v>358515</v>
      </c>
      <c r="V53" s="7">
        <f t="shared" si="2"/>
        <v>468718.96296296298</v>
      </c>
      <c r="W53" s="8">
        <f t="shared" si="3"/>
        <v>0.23511735532592695</v>
      </c>
      <c r="X53" s="5" t="s">
        <v>566</v>
      </c>
      <c r="Y53" s="5" t="s">
        <v>39</v>
      </c>
      <c r="Z53" s="5" t="s">
        <v>567</v>
      </c>
    </row>
    <row r="54" spans="1:26" ht="14.4" x14ac:dyDescent="0.3">
      <c r="A54" s="9" t="s">
        <v>26</v>
      </c>
      <c r="B54" s="9" t="s">
        <v>568</v>
      </c>
      <c r="C54" s="3">
        <v>53</v>
      </c>
      <c r="D54" s="4" t="s">
        <v>190</v>
      </c>
      <c r="E54" s="9" t="s">
        <v>191</v>
      </c>
      <c r="F54" s="9" t="s">
        <v>569</v>
      </c>
      <c r="G54" s="11" t="s">
        <v>31</v>
      </c>
      <c r="H54" s="11" t="s">
        <v>570</v>
      </c>
      <c r="I54" s="11" t="s">
        <v>571</v>
      </c>
      <c r="J54" s="12">
        <v>462183</v>
      </c>
      <c r="K54" s="11" t="s">
        <v>572</v>
      </c>
      <c r="L54" s="11" t="s">
        <v>31</v>
      </c>
      <c r="M54" s="11" t="s">
        <v>31</v>
      </c>
      <c r="N54" s="12">
        <v>0</v>
      </c>
      <c r="O54" s="11" t="s">
        <v>31</v>
      </c>
      <c r="P54" s="12">
        <v>0</v>
      </c>
      <c r="Q54" s="15">
        <v>0</v>
      </c>
      <c r="R54" s="15">
        <f t="shared" si="0"/>
        <v>0</v>
      </c>
      <c r="S54" s="15">
        <v>0</v>
      </c>
      <c r="T54" s="15">
        <v>0</v>
      </c>
      <c r="U54" s="15">
        <f t="shared" si="1"/>
        <v>462183</v>
      </c>
      <c r="V54" s="15">
        <f t="shared" si="2"/>
        <v>462183</v>
      </c>
      <c r="W54" s="16">
        <f t="shared" si="3"/>
        <v>0</v>
      </c>
      <c r="X54" s="11" t="s">
        <v>573</v>
      </c>
      <c r="Y54" s="11" t="s">
        <v>39</v>
      </c>
      <c r="Z54" s="11" t="s">
        <v>574</v>
      </c>
    </row>
    <row r="55" spans="1:26" ht="14.4" x14ac:dyDescent="0.3">
      <c r="A55" s="9" t="s">
        <v>26</v>
      </c>
      <c r="B55" s="9" t="s">
        <v>575</v>
      </c>
      <c r="C55" s="10">
        <v>54</v>
      </c>
      <c r="D55" s="17" t="s">
        <v>179</v>
      </c>
      <c r="E55" s="17" t="s">
        <v>576</v>
      </c>
      <c r="F55" s="17" t="s">
        <v>577</v>
      </c>
      <c r="G55" s="11" t="s">
        <v>31</v>
      </c>
      <c r="H55" s="11" t="s">
        <v>578</v>
      </c>
      <c r="I55" s="11" t="s">
        <v>579</v>
      </c>
      <c r="J55" s="12">
        <v>178871</v>
      </c>
      <c r="K55" s="11" t="s">
        <v>580</v>
      </c>
      <c r="L55" s="11" t="s">
        <v>31</v>
      </c>
      <c r="M55" s="11" t="s">
        <v>31</v>
      </c>
      <c r="N55" s="12">
        <v>0</v>
      </c>
      <c r="O55" s="11" t="s">
        <v>31</v>
      </c>
      <c r="P55" s="12">
        <v>0</v>
      </c>
      <c r="Q55" s="15">
        <v>0</v>
      </c>
      <c r="R55" s="15">
        <f t="shared" si="0"/>
        <v>0</v>
      </c>
      <c r="S55" s="15">
        <v>0</v>
      </c>
      <c r="T55" s="15">
        <v>0</v>
      </c>
      <c r="U55" s="15">
        <f t="shared" si="1"/>
        <v>178871</v>
      </c>
      <c r="V55" s="15">
        <f t="shared" si="2"/>
        <v>178871</v>
      </c>
      <c r="W55" s="16">
        <f t="shared" si="3"/>
        <v>0</v>
      </c>
      <c r="X55" s="11" t="s">
        <v>581</v>
      </c>
      <c r="Y55" s="11" t="s">
        <v>39</v>
      </c>
      <c r="Z55" s="11"/>
    </row>
    <row r="56" spans="1:26" ht="14.4" x14ac:dyDescent="0.3">
      <c r="A56" s="2" t="s">
        <v>26</v>
      </c>
      <c r="B56" s="2" t="s">
        <v>582</v>
      </c>
      <c r="C56" s="3">
        <v>55</v>
      </c>
      <c r="D56" s="4" t="s">
        <v>283</v>
      </c>
      <c r="E56" s="2" t="s">
        <v>284</v>
      </c>
      <c r="F56" s="2" t="s">
        <v>583</v>
      </c>
      <c r="G56" s="5" t="s">
        <v>31</v>
      </c>
      <c r="H56" s="5" t="s">
        <v>584</v>
      </c>
      <c r="I56" s="5" t="s">
        <v>585</v>
      </c>
      <c r="J56" s="6">
        <v>364481</v>
      </c>
      <c r="K56" s="5" t="s">
        <v>586</v>
      </c>
      <c r="L56" s="5" t="s">
        <v>31</v>
      </c>
      <c r="M56" s="5" t="s">
        <v>31</v>
      </c>
      <c r="N56" s="6">
        <v>0</v>
      </c>
      <c r="O56" s="5" t="s">
        <v>31</v>
      </c>
      <c r="P56" s="6">
        <v>0</v>
      </c>
      <c r="Q56" s="7">
        <v>2486019</v>
      </c>
      <c r="R56" s="7">
        <f t="shared" si="0"/>
        <v>92074.777777777781</v>
      </c>
      <c r="S56" s="7">
        <v>191</v>
      </c>
      <c r="T56" s="7">
        <v>134</v>
      </c>
      <c r="U56" s="7">
        <f t="shared" si="1"/>
        <v>364481</v>
      </c>
      <c r="V56" s="7">
        <f t="shared" si="2"/>
        <v>456555.77777777775</v>
      </c>
      <c r="W56" s="8">
        <f t="shared" si="3"/>
        <v>0.20167257158794277</v>
      </c>
      <c r="X56" s="5" t="s">
        <v>587</v>
      </c>
      <c r="Y56" s="5" t="s">
        <v>39</v>
      </c>
      <c r="Z56" s="5" t="s">
        <v>588</v>
      </c>
    </row>
    <row r="57" spans="1:26" ht="14.4" x14ac:dyDescent="0.3">
      <c r="A57" s="9" t="s">
        <v>26</v>
      </c>
      <c r="B57" s="9" t="s">
        <v>589</v>
      </c>
      <c r="C57" s="10">
        <v>56</v>
      </c>
      <c r="D57" s="4" t="s">
        <v>590</v>
      </c>
      <c r="E57" s="9" t="s">
        <v>591</v>
      </c>
      <c r="F57" s="9" t="s">
        <v>592</v>
      </c>
      <c r="G57" s="11" t="s">
        <v>31</v>
      </c>
      <c r="H57" s="11" t="s">
        <v>593</v>
      </c>
      <c r="I57" s="11" t="s">
        <v>594</v>
      </c>
      <c r="J57" s="12">
        <v>304594</v>
      </c>
      <c r="K57" s="11" t="s">
        <v>595</v>
      </c>
      <c r="L57" s="11" t="s">
        <v>31</v>
      </c>
      <c r="M57" s="11" t="s">
        <v>31</v>
      </c>
      <c r="N57" s="12">
        <v>0</v>
      </c>
      <c r="O57" s="11" t="s">
        <v>31</v>
      </c>
      <c r="P57" s="12">
        <v>0</v>
      </c>
      <c r="Q57" s="13">
        <v>4051898</v>
      </c>
      <c r="R57" s="13">
        <f t="shared" si="0"/>
        <v>150070.29629629629</v>
      </c>
      <c r="S57" s="13">
        <v>155</v>
      </c>
      <c r="T57" s="13">
        <v>68</v>
      </c>
      <c r="U57" s="13">
        <f t="shared" si="1"/>
        <v>304594</v>
      </c>
      <c r="V57" s="13">
        <f t="shared" si="2"/>
        <v>454664.29629629629</v>
      </c>
      <c r="W57" s="14">
        <f t="shared" si="3"/>
        <v>0.33006835486923358</v>
      </c>
      <c r="X57" s="11" t="s">
        <v>596</v>
      </c>
      <c r="Y57" s="11" t="s">
        <v>39</v>
      </c>
      <c r="Z57" s="11" t="s">
        <v>597</v>
      </c>
    </row>
    <row r="58" spans="1:26" ht="14.4" x14ac:dyDescent="0.3">
      <c r="A58" s="2" t="s">
        <v>26</v>
      </c>
      <c r="B58" s="2" t="s">
        <v>598</v>
      </c>
      <c r="C58" s="3">
        <v>57</v>
      </c>
      <c r="D58" s="4" t="s">
        <v>599</v>
      </c>
      <c r="E58" s="2" t="s">
        <v>600</v>
      </c>
      <c r="F58" s="4" t="s">
        <v>601</v>
      </c>
      <c r="G58" s="5" t="s">
        <v>31</v>
      </c>
      <c r="H58" s="5" t="s">
        <v>602</v>
      </c>
      <c r="I58" s="5" t="s">
        <v>603</v>
      </c>
      <c r="J58" s="6">
        <v>349136</v>
      </c>
      <c r="K58" s="5" t="s">
        <v>604</v>
      </c>
      <c r="L58" s="5" t="s">
        <v>605</v>
      </c>
      <c r="M58" s="5" t="s">
        <v>606</v>
      </c>
      <c r="N58" s="6">
        <v>11624</v>
      </c>
      <c r="O58" s="5" t="s">
        <v>607</v>
      </c>
      <c r="P58" s="6">
        <v>0</v>
      </c>
      <c r="Q58" s="7">
        <v>2491027</v>
      </c>
      <c r="R58" s="7">
        <f t="shared" si="0"/>
        <v>92260.259259259255</v>
      </c>
      <c r="S58" s="7">
        <v>108</v>
      </c>
      <c r="T58" s="7">
        <v>133</v>
      </c>
      <c r="U58" s="7">
        <f t="shared" si="1"/>
        <v>360760</v>
      </c>
      <c r="V58" s="7">
        <f t="shared" si="2"/>
        <v>453020.25925925927</v>
      </c>
      <c r="W58" s="8">
        <f t="shared" si="3"/>
        <v>0.20365592349029929</v>
      </c>
      <c r="X58" s="5" t="s">
        <v>608</v>
      </c>
      <c r="Y58" s="5" t="s">
        <v>39</v>
      </c>
      <c r="Z58" s="5" t="s">
        <v>609</v>
      </c>
    </row>
    <row r="59" spans="1:26" ht="14.4" x14ac:dyDescent="0.3">
      <c r="A59" s="9" t="s">
        <v>26</v>
      </c>
      <c r="B59" s="9" t="s">
        <v>610</v>
      </c>
      <c r="C59" s="10">
        <v>58</v>
      </c>
      <c r="D59" s="4" t="s">
        <v>611</v>
      </c>
      <c r="E59" s="9" t="s">
        <v>612</v>
      </c>
      <c r="F59" s="9" t="s">
        <v>613</v>
      </c>
      <c r="G59" s="11" t="s">
        <v>31</v>
      </c>
      <c r="H59" s="11" t="s">
        <v>614</v>
      </c>
      <c r="I59" s="11" t="s">
        <v>615</v>
      </c>
      <c r="J59" s="12">
        <v>451636</v>
      </c>
      <c r="K59" s="11" t="s">
        <v>616</v>
      </c>
      <c r="L59" s="11" t="s">
        <v>31</v>
      </c>
      <c r="M59" s="11" t="s">
        <v>31</v>
      </c>
      <c r="N59" s="12">
        <v>0</v>
      </c>
      <c r="O59" s="11" t="s">
        <v>31</v>
      </c>
      <c r="P59" s="12">
        <v>0</v>
      </c>
      <c r="Q59" s="15">
        <v>0</v>
      </c>
      <c r="R59" s="15">
        <f t="shared" si="0"/>
        <v>0</v>
      </c>
      <c r="S59" s="15">
        <v>0</v>
      </c>
      <c r="T59" s="15">
        <v>0</v>
      </c>
      <c r="U59" s="15">
        <f t="shared" si="1"/>
        <v>451636</v>
      </c>
      <c r="V59" s="15">
        <f t="shared" si="2"/>
        <v>451636</v>
      </c>
      <c r="W59" s="16">
        <f t="shared" si="3"/>
        <v>0</v>
      </c>
      <c r="X59" s="11" t="s">
        <v>617</v>
      </c>
      <c r="Y59" s="11" t="s">
        <v>39</v>
      </c>
      <c r="Z59" s="11" t="s">
        <v>618</v>
      </c>
    </row>
    <row r="60" spans="1:26" ht="14.4" x14ac:dyDescent="0.3">
      <c r="A60" s="2" t="s">
        <v>26</v>
      </c>
      <c r="B60" s="2" t="s">
        <v>619</v>
      </c>
      <c r="C60" s="3">
        <v>59</v>
      </c>
      <c r="D60" s="4" t="s">
        <v>620</v>
      </c>
      <c r="E60" s="2" t="s">
        <v>621</v>
      </c>
      <c r="F60" s="2" t="s">
        <v>622</v>
      </c>
      <c r="G60" s="5" t="s">
        <v>31</v>
      </c>
      <c r="H60" s="5" t="s">
        <v>623</v>
      </c>
      <c r="I60" s="5" t="s">
        <v>624</v>
      </c>
      <c r="J60" s="6">
        <v>243850</v>
      </c>
      <c r="K60" s="5" t="s">
        <v>625</v>
      </c>
      <c r="L60" s="5" t="s">
        <v>626</v>
      </c>
      <c r="M60" s="5" t="s">
        <v>627</v>
      </c>
      <c r="N60" s="6">
        <v>6344</v>
      </c>
      <c r="O60" s="5" t="s">
        <v>628</v>
      </c>
      <c r="P60" s="6">
        <v>0</v>
      </c>
      <c r="Q60" s="15">
        <v>0</v>
      </c>
      <c r="R60" s="15">
        <f t="shared" si="0"/>
        <v>0</v>
      </c>
      <c r="S60" s="15">
        <v>0</v>
      </c>
      <c r="T60" s="15">
        <v>0</v>
      </c>
      <c r="U60" s="15">
        <f t="shared" si="1"/>
        <v>250194</v>
      </c>
      <c r="V60" s="15">
        <f t="shared" si="2"/>
        <v>250194</v>
      </c>
      <c r="W60" s="16">
        <f t="shared" si="3"/>
        <v>0</v>
      </c>
      <c r="X60" s="5" t="s">
        <v>629</v>
      </c>
      <c r="Y60" s="5" t="s">
        <v>39</v>
      </c>
      <c r="Z60" s="5" t="s">
        <v>630</v>
      </c>
    </row>
    <row r="61" spans="1:26" ht="14.4" x14ac:dyDescent="0.3">
      <c r="A61" s="2" t="s">
        <v>26</v>
      </c>
      <c r="B61" s="2" t="s">
        <v>631</v>
      </c>
      <c r="C61" s="10">
        <v>60</v>
      </c>
      <c r="D61" s="4" t="s">
        <v>514</v>
      </c>
      <c r="E61" s="2" t="s">
        <v>515</v>
      </c>
      <c r="F61" s="2" t="s">
        <v>632</v>
      </c>
      <c r="G61" s="5" t="s">
        <v>31</v>
      </c>
      <c r="H61" s="5" t="s">
        <v>633</v>
      </c>
      <c r="I61" s="5" t="s">
        <v>634</v>
      </c>
      <c r="J61" s="6">
        <v>382348</v>
      </c>
      <c r="K61" s="5" t="s">
        <v>635</v>
      </c>
      <c r="L61" s="5" t="s">
        <v>31</v>
      </c>
      <c r="M61" s="5" t="s">
        <v>31</v>
      </c>
      <c r="N61" s="6">
        <v>0</v>
      </c>
      <c r="O61" s="5" t="s">
        <v>31</v>
      </c>
      <c r="P61" s="6">
        <v>0</v>
      </c>
      <c r="Q61" s="7">
        <v>1587346</v>
      </c>
      <c r="R61" s="7">
        <f t="shared" si="0"/>
        <v>58790.592592592591</v>
      </c>
      <c r="S61" s="7">
        <v>59</v>
      </c>
      <c r="T61" s="7">
        <v>308</v>
      </c>
      <c r="U61" s="7">
        <f t="shared" si="1"/>
        <v>382348</v>
      </c>
      <c r="V61" s="7">
        <f t="shared" si="2"/>
        <v>441138.59259259258</v>
      </c>
      <c r="W61" s="8">
        <f t="shared" si="3"/>
        <v>0.13327011868781979</v>
      </c>
      <c r="X61" s="5" t="s">
        <v>636</v>
      </c>
      <c r="Y61" s="5" t="s">
        <v>39</v>
      </c>
      <c r="Z61" s="5" t="s">
        <v>637</v>
      </c>
    </row>
    <row r="62" spans="1:26" ht="14.4" x14ac:dyDescent="0.3">
      <c r="A62" s="9" t="s">
        <v>26</v>
      </c>
      <c r="B62" s="9" t="s">
        <v>638</v>
      </c>
      <c r="C62" s="3">
        <v>61</v>
      </c>
      <c r="D62" s="9" t="s">
        <v>639</v>
      </c>
      <c r="E62" s="9" t="s">
        <v>640</v>
      </c>
      <c r="F62" s="9" t="s">
        <v>641</v>
      </c>
      <c r="G62" s="11" t="s">
        <v>31</v>
      </c>
      <c r="H62" s="11" t="s">
        <v>642</v>
      </c>
      <c r="I62" s="11" t="s">
        <v>643</v>
      </c>
      <c r="J62" s="12">
        <v>283239</v>
      </c>
      <c r="K62" s="11" t="s">
        <v>644</v>
      </c>
      <c r="L62" s="11" t="s">
        <v>645</v>
      </c>
      <c r="M62" s="11" t="s">
        <v>646</v>
      </c>
      <c r="N62" s="12">
        <v>6181</v>
      </c>
      <c r="O62" s="11" t="s">
        <v>647</v>
      </c>
      <c r="P62" s="12">
        <v>0</v>
      </c>
      <c r="Q62" s="13">
        <v>4094890</v>
      </c>
      <c r="R62" s="13">
        <f t="shared" si="0"/>
        <v>151662.59259259258</v>
      </c>
      <c r="S62" s="13">
        <v>220</v>
      </c>
      <c r="T62" s="13">
        <v>67</v>
      </c>
      <c r="U62" s="13">
        <f t="shared" si="1"/>
        <v>289420</v>
      </c>
      <c r="V62" s="13">
        <f t="shared" si="2"/>
        <v>441082.59259259258</v>
      </c>
      <c r="W62" s="14">
        <f t="shared" si="3"/>
        <v>0.34384170932965435</v>
      </c>
      <c r="X62" s="11" t="s">
        <v>648</v>
      </c>
      <c r="Y62" s="11" t="s">
        <v>39</v>
      </c>
      <c r="Z62" s="11" t="s">
        <v>649</v>
      </c>
    </row>
    <row r="63" spans="1:26" ht="14.4" x14ac:dyDescent="0.3">
      <c r="A63" s="2" t="s">
        <v>26</v>
      </c>
      <c r="B63" s="2" t="s">
        <v>650</v>
      </c>
      <c r="C63" s="10">
        <v>62</v>
      </c>
      <c r="D63" s="4" t="s">
        <v>651</v>
      </c>
      <c r="E63" s="2" t="s">
        <v>652</v>
      </c>
      <c r="F63" s="2" t="s">
        <v>653</v>
      </c>
      <c r="G63" s="5" t="s">
        <v>31</v>
      </c>
      <c r="H63" s="5" t="s">
        <v>654</v>
      </c>
      <c r="I63" s="5" t="s">
        <v>655</v>
      </c>
      <c r="J63" s="6">
        <v>273714</v>
      </c>
      <c r="K63" s="5" t="s">
        <v>656</v>
      </c>
      <c r="L63" s="5" t="s">
        <v>657</v>
      </c>
      <c r="M63" s="5" t="s">
        <v>658</v>
      </c>
      <c r="N63" s="6">
        <v>8238</v>
      </c>
      <c r="O63" s="5" t="s">
        <v>332</v>
      </c>
      <c r="P63" s="6">
        <v>0</v>
      </c>
      <c r="Q63" s="7">
        <v>4278726</v>
      </c>
      <c r="R63" s="7">
        <f t="shared" si="0"/>
        <v>158471.33333333334</v>
      </c>
      <c r="S63" s="7">
        <v>288</v>
      </c>
      <c r="T63" s="7">
        <v>61</v>
      </c>
      <c r="U63" s="7">
        <f t="shared" si="1"/>
        <v>281952</v>
      </c>
      <c r="V63" s="7">
        <f t="shared" si="2"/>
        <v>440423.33333333337</v>
      </c>
      <c r="W63" s="8">
        <f t="shared" si="3"/>
        <v>0.35981593466891704</v>
      </c>
      <c r="X63" s="5" t="s">
        <v>659</v>
      </c>
      <c r="Y63" s="5" t="s">
        <v>39</v>
      </c>
      <c r="Z63" s="5" t="s">
        <v>660</v>
      </c>
    </row>
    <row r="64" spans="1:26" ht="14.4" x14ac:dyDescent="0.3">
      <c r="A64" s="9" t="s">
        <v>26</v>
      </c>
      <c r="B64" s="9" t="s">
        <v>661</v>
      </c>
      <c r="C64" s="3">
        <v>63</v>
      </c>
      <c r="D64" s="4" t="s">
        <v>337</v>
      </c>
      <c r="E64" s="9" t="s">
        <v>662</v>
      </c>
      <c r="F64" s="4" t="s">
        <v>663</v>
      </c>
      <c r="G64" s="11" t="s">
        <v>31</v>
      </c>
      <c r="H64" s="11" t="s">
        <v>664</v>
      </c>
      <c r="I64" s="11" t="s">
        <v>665</v>
      </c>
      <c r="J64" s="12">
        <v>379881</v>
      </c>
      <c r="K64" s="11" t="s">
        <v>666</v>
      </c>
      <c r="L64" s="11" t="s">
        <v>667</v>
      </c>
      <c r="M64" s="11" t="s">
        <v>668</v>
      </c>
      <c r="N64" s="12">
        <v>6941</v>
      </c>
      <c r="O64" s="11" t="s">
        <v>669</v>
      </c>
      <c r="P64" s="12">
        <v>0</v>
      </c>
      <c r="Q64" s="13">
        <v>1138687</v>
      </c>
      <c r="R64" s="13">
        <f t="shared" si="0"/>
        <v>42173.592592592591</v>
      </c>
      <c r="S64" s="13">
        <v>69</v>
      </c>
      <c r="T64" s="13">
        <v>645</v>
      </c>
      <c r="U64" s="13">
        <f t="shared" si="1"/>
        <v>386822</v>
      </c>
      <c r="V64" s="13">
        <f t="shared" si="2"/>
        <v>428995.59259259258</v>
      </c>
      <c r="W64" s="14">
        <f t="shared" si="3"/>
        <v>9.8307752622167149E-2</v>
      </c>
      <c r="X64" s="11" t="s">
        <v>670</v>
      </c>
      <c r="Y64" s="11" t="s">
        <v>39</v>
      </c>
      <c r="Z64" s="11" t="s">
        <v>671</v>
      </c>
    </row>
    <row r="65" spans="1:26" ht="14.4" x14ac:dyDescent="0.3">
      <c r="A65" s="2" t="s">
        <v>26</v>
      </c>
      <c r="B65" s="2" t="s">
        <v>672</v>
      </c>
      <c r="C65" s="10">
        <v>64</v>
      </c>
      <c r="D65" s="4" t="s">
        <v>673</v>
      </c>
      <c r="E65" s="2" t="s">
        <v>674</v>
      </c>
      <c r="F65" s="4" t="s">
        <v>675</v>
      </c>
      <c r="G65" s="5" t="s">
        <v>31</v>
      </c>
      <c r="H65" s="5" t="s">
        <v>676</v>
      </c>
      <c r="I65" s="5" t="s">
        <v>677</v>
      </c>
      <c r="J65" s="6">
        <v>377212</v>
      </c>
      <c r="K65" s="5" t="s">
        <v>678</v>
      </c>
      <c r="L65" s="5" t="s">
        <v>667</v>
      </c>
      <c r="M65" s="5" t="s">
        <v>679</v>
      </c>
      <c r="N65" s="6">
        <v>8164</v>
      </c>
      <c r="O65" s="5" t="s">
        <v>680</v>
      </c>
      <c r="P65" s="6">
        <v>0</v>
      </c>
      <c r="Q65" s="7">
        <v>1055637</v>
      </c>
      <c r="R65" s="7">
        <f t="shared" si="0"/>
        <v>39097.666666666664</v>
      </c>
      <c r="S65" s="7">
        <v>50</v>
      </c>
      <c r="T65" s="7">
        <v>756</v>
      </c>
      <c r="U65" s="7">
        <f t="shared" si="1"/>
        <v>385376</v>
      </c>
      <c r="V65" s="7">
        <f t="shared" si="2"/>
        <v>424473.66666666669</v>
      </c>
      <c r="W65" s="8">
        <f t="shared" si="3"/>
        <v>9.2108579959023759E-2</v>
      </c>
      <c r="X65" s="5" t="s">
        <v>681</v>
      </c>
      <c r="Y65" s="5" t="s">
        <v>39</v>
      </c>
      <c r="Z65" s="5" t="s">
        <v>682</v>
      </c>
    </row>
    <row r="66" spans="1:26" ht="14.4" x14ac:dyDescent="0.3">
      <c r="A66" s="9" t="s">
        <v>26</v>
      </c>
      <c r="B66" s="9" t="s">
        <v>683</v>
      </c>
      <c r="C66" s="3">
        <v>65</v>
      </c>
      <c r="D66" s="4" t="s">
        <v>360</v>
      </c>
      <c r="E66" s="9" t="s">
        <v>361</v>
      </c>
      <c r="F66" s="9" t="s">
        <v>684</v>
      </c>
      <c r="G66" s="11" t="s">
        <v>31</v>
      </c>
      <c r="H66" s="11" t="s">
        <v>685</v>
      </c>
      <c r="I66" s="11" t="s">
        <v>686</v>
      </c>
      <c r="J66" s="12">
        <v>402044</v>
      </c>
      <c r="K66" s="11" t="s">
        <v>687</v>
      </c>
      <c r="L66" s="11" t="s">
        <v>688</v>
      </c>
      <c r="M66" s="11" t="s">
        <v>689</v>
      </c>
      <c r="N66" s="12">
        <v>9403</v>
      </c>
      <c r="O66" s="11" t="s">
        <v>690</v>
      </c>
      <c r="P66" s="12">
        <v>0</v>
      </c>
      <c r="Q66" s="13">
        <v>334902</v>
      </c>
      <c r="R66" s="13">
        <f t="shared" si="0"/>
        <v>12403.777777777777</v>
      </c>
      <c r="S66" s="13">
        <v>29</v>
      </c>
      <c r="T66" s="13">
        <v>3761</v>
      </c>
      <c r="U66" s="13">
        <f t="shared" si="1"/>
        <v>411447</v>
      </c>
      <c r="V66" s="13">
        <f t="shared" si="2"/>
        <v>423850.77777777775</v>
      </c>
      <c r="W66" s="14">
        <f t="shared" si="3"/>
        <v>2.9264492194186791E-2</v>
      </c>
      <c r="X66" s="11" t="s">
        <v>691</v>
      </c>
      <c r="Y66" s="11" t="s">
        <v>39</v>
      </c>
      <c r="Z66" s="11" t="s">
        <v>692</v>
      </c>
    </row>
    <row r="67" spans="1:26" ht="14.4" x14ac:dyDescent="0.3">
      <c r="A67" s="2" t="s">
        <v>26</v>
      </c>
      <c r="B67" s="2" t="s">
        <v>693</v>
      </c>
      <c r="C67" s="10">
        <v>66</v>
      </c>
      <c r="D67" s="17" t="s">
        <v>694</v>
      </c>
      <c r="E67" s="17" t="s">
        <v>695</v>
      </c>
      <c r="F67" s="17" t="s">
        <v>696</v>
      </c>
      <c r="G67" s="5" t="s">
        <v>31</v>
      </c>
      <c r="H67" s="5" t="s">
        <v>697</v>
      </c>
      <c r="I67" s="5" t="s">
        <v>698</v>
      </c>
      <c r="J67" s="6">
        <v>291563</v>
      </c>
      <c r="K67" s="5" t="s">
        <v>699</v>
      </c>
      <c r="L67" s="5" t="s">
        <v>700</v>
      </c>
      <c r="M67" s="5" t="s">
        <v>701</v>
      </c>
      <c r="N67" s="6">
        <v>5989</v>
      </c>
      <c r="O67" s="5" t="s">
        <v>702</v>
      </c>
      <c r="P67" s="6">
        <v>0</v>
      </c>
      <c r="Q67" s="7">
        <v>3387113</v>
      </c>
      <c r="R67" s="7">
        <f t="shared" si="0"/>
        <v>125448.62962962964</v>
      </c>
      <c r="S67" s="7">
        <v>105</v>
      </c>
      <c r="T67" s="7">
        <v>87</v>
      </c>
      <c r="U67" s="7">
        <f t="shared" si="1"/>
        <v>297552</v>
      </c>
      <c r="V67" s="7">
        <f t="shared" si="2"/>
        <v>423000.62962962966</v>
      </c>
      <c r="W67" s="8">
        <f t="shared" si="3"/>
        <v>0.29656842293466507</v>
      </c>
      <c r="X67" s="5" t="s">
        <v>703</v>
      </c>
      <c r="Y67" s="5" t="s">
        <v>39</v>
      </c>
      <c r="Z67" s="5"/>
    </row>
    <row r="68" spans="1:26" ht="14.4" x14ac:dyDescent="0.3">
      <c r="A68" s="9" t="s">
        <v>26</v>
      </c>
      <c r="B68" s="9" t="s">
        <v>704</v>
      </c>
      <c r="C68" s="3">
        <v>67</v>
      </c>
      <c r="D68" s="4" t="s">
        <v>705</v>
      </c>
      <c r="E68" s="9" t="s">
        <v>706</v>
      </c>
      <c r="F68" s="9" t="s">
        <v>707</v>
      </c>
      <c r="G68" s="11" t="s">
        <v>31</v>
      </c>
      <c r="H68" s="11" t="s">
        <v>708</v>
      </c>
      <c r="I68" s="11" t="s">
        <v>709</v>
      </c>
      <c r="J68" s="12">
        <v>375606</v>
      </c>
      <c r="K68" s="11" t="s">
        <v>710</v>
      </c>
      <c r="L68" s="11" t="s">
        <v>31</v>
      </c>
      <c r="M68" s="11" t="s">
        <v>31</v>
      </c>
      <c r="N68" s="12">
        <v>0</v>
      </c>
      <c r="O68" s="11" t="s">
        <v>31</v>
      </c>
      <c r="P68" s="12">
        <v>0</v>
      </c>
      <c r="Q68" s="13">
        <v>1170813</v>
      </c>
      <c r="R68" s="13">
        <f t="shared" si="0"/>
        <v>43363.444444444445</v>
      </c>
      <c r="S68" s="13">
        <v>54</v>
      </c>
      <c r="T68" s="13">
        <v>609</v>
      </c>
      <c r="U68" s="13">
        <f t="shared" si="1"/>
        <v>375606</v>
      </c>
      <c r="V68" s="13">
        <f t="shared" si="2"/>
        <v>418969.44444444444</v>
      </c>
      <c r="W68" s="14">
        <f t="shared" si="3"/>
        <v>0.10350025525595211</v>
      </c>
      <c r="X68" s="11" t="s">
        <v>711</v>
      </c>
      <c r="Y68" s="11" t="s">
        <v>39</v>
      </c>
      <c r="Z68" s="11" t="s">
        <v>712</v>
      </c>
    </row>
    <row r="69" spans="1:26" ht="14.4" x14ac:dyDescent="0.3">
      <c r="A69" s="2" t="s">
        <v>26</v>
      </c>
      <c r="B69" s="2" t="s">
        <v>713</v>
      </c>
      <c r="C69" s="10">
        <v>68</v>
      </c>
      <c r="D69" s="4" t="s">
        <v>714</v>
      </c>
      <c r="E69" s="2" t="s">
        <v>715</v>
      </c>
      <c r="F69" s="4" t="s">
        <v>716</v>
      </c>
      <c r="G69" s="5" t="s">
        <v>31</v>
      </c>
      <c r="H69" s="5" t="s">
        <v>717</v>
      </c>
      <c r="I69" s="5" t="s">
        <v>718</v>
      </c>
      <c r="J69" s="6">
        <v>385584</v>
      </c>
      <c r="K69" s="5" t="s">
        <v>719</v>
      </c>
      <c r="L69" s="5" t="s">
        <v>31</v>
      </c>
      <c r="M69" s="5" t="s">
        <v>31</v>
      </c>
      <c r="N69" s="6">
        <v>0</v>
      </c>
      <c r="O69" s="5" t="s">
        <v>31</v>
      </c>
      <c r="P69" s="6">
        <v>0</v>
      </c>
      <c r="Q69" s="7">
        <v>830359</v>
      </c>
      <c r="R69" s="7">
        <f t="shared" si="0"/>
        <v>30754.037037037036</v>
      </c>
      <c r="S69" s="7">
        <v>61</v>
      </c>
      <c r="T69" s="7">
        <v>1170</v>
      </c>
      <c r="U69" s="7">
        <f t="shared" si="1"/>
        <v>385584</v>
      </c>
      <c r="V69" s="7">
        <f t="shared" si="2"/>
        <v>416338.03703703702</v>
      </c>
      <c r="W69" s="8">
        <f t="shared" si="3"/>
        <v>7.3867949361305141E-2</v>
      </c>
      <c r="X69" s="5" t="s">
        <v>720</v>
      </c>
      <c r="Y69" s="5" t="s">
        <v>39</v>
      </c>
      <c r="Z69" s="5" t="s">
        <v>721</v>
      </c>
    </row>
    <row r="70" spans="1:26" ht="14.4" x14ac:dyDescent="0.3">
      <c r="A70" s="9" t="s">
        <v>26</v>
      </c>
      <c r="B70" s="9" t="s">
        <v>722</v>
      </c>
      <c r="C70" s="3">
        <v>69</v>
      </c>
      <c r="D70" s="4" t="s">
        <v>723</v>
      </c>
      <c r="E70" s="9" t="s">
        <v>724</v>
      </c>
      <c r="F70" s="4" t="s">
        <v>725</v>
      </c>
      <c r="G70" s="11" t="s">
        <v>31</v>
      </c>
      <c r="H70" s="11" t="s">
        <v>726</v>
      </c>
      <c r="I70" s="11" t="s">
        <v>727</v>
      </c>
      <c r="J70" s="12">
        <v>371383</v>
      </c>
      <c r="K70" s="11" t="s">
        <v>728</v>
      </c>
      <c r="L70" s="11" t="s">
        <v>729</v>
      </c>
      <c r="M70" s="11" t="s">
        <v>730</v>
      </c>
      <c r="N70" s="12">
        <v>7566</v>
      </c>
      <c r="O70" s="11" t="s">
        <v>731</v>
      </c>
      <c r="P70" s="12">
        <v>0</v>
      </c>
      <c r="Q70" s="13">
        <v>944755</v>
      </c>
      <c r="R70" s="13">
        <f t="shared" si="0"/>
        <v>34990.925925925927</v>
      </c>
      <c r="S70" s="13">
        <v>36</v>
      </c>
      <c r="T70" s="13">
        <v>917</v>
      </c>
      <c r="U70" s="13">
        <f t="shared" si="1"/>
        <v>378949</v>
      </c>
      <c r="V70" s="13">
        <f t="shared" si="2"/>
        <v>413939.92592592596</v>
      </c>
      <c r="W70" s="14">
        <f t="shared" si="3"/>
        <v>8.4531410802318963E-2</v>
      </c>
      <c r="X70" s="11" t="s">
        <v>732</v>
      </c>
      <c r="Y70" s="11" t="s">
        <v>39</v>
      </c>
      <c r="Z70" s="11" t="s">
        <v>733</v>
      </c>
    </row>
    <row r="71" spans="1:26" ht="14.4" x14ac:dyDescent="0.3">
      <c r="A71" s="2" t="s">
        <v>26</v>
      </c>
      <c r="B71" s="2" t="s">
        <v>734</v>
      </c>
      <c r="C71" s="10">
        <v>70</v>
      </c>
      <c r="D71" s="4" t="s">
        <v>735</v>
      </c>
      <c r="E71" s="2" t="s">
        <v>736</v>
      </c>
      <c r="F71" s="2" t="s">
        <v>737</v>
      </c>
      <c r="G71" s="5" t="s">
        <v>31</v>
      </c>
      <c r="H71" s="5" t="s">
        <v>738</v>
      </c>
      <c r="I71" s="5" t="s">
        <v>739</v>
      </c>
      <c r="J71" s="6">
        <v>361993</v>
      </c>
      <c r="K71" s="5" t="s">
        <v>740</v>
      </c>
      <c r="L71" s="5" t="s">
        <v>741</v>
      </c>
      <c r="M71" s="5" t="s">
        <v>742</v>
      </c>
      <c r="N71" s="6">
        <v>10535</v>
      </c>
      <c r="O71" s="5" t="s">
        <v>743</v>
      </c>
      <c r="P71" s="6">
        <v>0</v>
      </c>
      <c r="Q71" s="7">
        <v>1116675</v>
      </c>
      <c r="R71" s="7">
        <f t="shared" si="0"/>
        <v>41358.333333333336</v>
      </c>
      <c r="S71" s="7">
        <v>91</v>
      </c>
      <c r="T71" s="7">
        <v>677</v>
      </c>
      <c r="U71" s="7">
        <f t="shared" si="1"/>
        <v>372528</v>
      </c>
      <c r="V71" s="7">
        <f t="shared" si="2"/>
        <v>413886.33333333331</v>
      </c>
      <c r="W71" s="8">
        <f t="shared" si="3"/>
        <v>9.992679149428306E-2</v>
      </c>
      <c r="X71" s="5" t="s">
        <v>744</v>
      </c>
      <c r="Y71" s="5" t="s">
        <v>39</v>
      </c>
      <c r="Z71" s="5" t="s">
        <v>745</v>
      </c>
    </row>
    <row r="72" spans="1:26" ht="14.4" x14ac:dyDescent="0.3">
      <c r="A72" s="9" t="s">
        <v>26</v>
      </c>
      <c r="B72" s="9" t="s">
        <v>746</v>
      </c>
      <c r="C72" s="3">
        <v>71</v>
      </c>
      <c r="D72" s="4" t="s">
        <v>747</v>
      </c>
      <c r="E72" s="9" t="s">
        <v>748</v>
      </c>
      <c r="F72" s="9" t="s">
        <v>749</v>
      </c>
      <c r="G72" s="11" t="s">
        <v>31</v>
      </c>
      <c r="H72" s="11" t="s">
        <v>750</v>
      </c>
      <c r="I72" s="11" t="s">
        <v>751</v>
      </c>
      <c r="J72" s="12">
        <v>367305</v>
      </c>
      <c r="K72" s="11" t="s">
        <v>752</v>
      </c>
      <c r="L72" s="11" t="s">
        <v>31</v>
      </c>
      <c r="M72" s="11" t="s">
        <v>31</v>
      </c>
      <c r="N72" s="12">
        <v>0</v>
      </c>
      <c r="O72" s="11" t="s">
        <v>31</v>
      </c>
      <c r="P72" s="12">
        <v>0</v>
      </c>
      <c r="Q72" s="13">
        <v>1226761</v>
      </c>
      <c r="R72" s="13">
        <f t="shared" si="0"/>
        <v>45435.592592592591</v>
      </c>
      <c r="S72" s="13">
        <v>75</v>
      </c>
      <c r="T72" s="13">
        <v>537</v>
      </c>
      <c r="U72" s="13">
        <f t="shared" si="1"/>
        <v>367305</v>
      </c>
      <c r="V72" s="13">
        <f t="shared" si="2"/>
        <v>412740.59259259258</v>
      </c>
      <c r="W72" s="14">
        <f t="shared" si="3"/>
        <v>0.11008268488251431</v>
      </c>
      <c r="X72" s="11" t="s">
        <v>753</v>
      </c>
      <c r="Y72" s="11" t="s">
        <v>39</v>
      </c>
      <c r="Z72" s="11" t="s">
        <v>754</v>
      </c>
    </row>
    <row r="73" spans="1:26" ht="14.4" x14ac:dyDescent="0.3">
      <c r="A73" s="2" t="s">
        <v>26</v>
      </c>
      <c r="B73" s="2" t="s">
        <v>755</v>
      </c>
      <c r="C73" s="10">
        <v>72</v>
      </c>
      <c r="D73" s="4" t="s">
        <v>756</v>
      </c>
      <c r="E73" s="2" t="s">
        <v>757</v>
      </c>
      <c r="F73" s="17" t="s">
        <v>758</v>
      </c>
      <c r="G73" s="5" t="s">
        <v>31</v>
      </c>
      <c r="H73" s="5" t="s">
        <v>759</v>
      </c>
      <c r="I73" s="5" t="s">
        <v>760</v>
      </c>
      <c r="J73" s="6">
        <v>314888</v>
      </c>
      <c r="K73" s="5" t="s">
        <v>761</v>
      </c>
      <c r="L73" s="5" t="s">
        <v>31</v>
      </c>
      <c r="M73" s="5" t="s">
        <v>31</v>
      </c>
      <c r="N73" s="6">
        <v>0</v>
      </c>
      <c r="O73" s="5" t="s">
        <v>31</v>
      </c>
      <c r="P73" s="6">
        <v>0</v>
      </c>
      <c r="Q73" s="15">
        <f>IFERROR(VLOOKUP(F73,'[1]Colombia Radio'!$C$2:$E$97118,2,0),0)</f>
        <v>0</v>
      </c>
      <c r="R73" s="15">
        <f t="shared" si="0"/>
        <v>0</v>
      </c>
      <c r="S73" s="15">
        <f>IFERROR(VLOOKUP(F73,'[1]Colombia Radio'!$C$2:$E$69000,3,0),0)</f>
        <v>0</v>
      </c>
      <c r="T73" s="15">
        <f>IFERROR(VLOOKUP(F73,'[1]Colombia Radio'!$C$2:$F$69000,4,0),0)</f>
        <v>0</v>
      </c>
      <c r="U73" s="15">
        <f t="shared" si="1"/>
        <v>314888</v>
      </c>
      <c r="V73" s="15">
        <f t="shared" si="2"/>
        <v>314888</v>
      </c>
      <c r="W73" s="16">
        <f t="shared" si="3"/>
        <v>0</v>
      </c>
      <c r="X73" s="5" t="s">
        <v>762</v>
      </c>
      <c r="Y73" s="5" t="s">
        <v>39</v>
      </c>
      <c r="Z73" s="5" t="s">
        <v>763</v>
      </c>
    </row>
    <row r="74" spans="1:26" ht="14.4" x14ac:dyDescent="0.3">
      <c r="A74" s="2" t="s">
        <v>26</v>
      </c>
      <c r="B74" s="2" t="s">
        <v>764</v>
      </c>
      <c r="C74" s="3">
        <v>73</v>
      </c>
      <c r="D74" s="4" t="s">
        <v>765</v>
      </c>
      <c r="E74" s="2" t="s">
        <v>640</v>
      </c>
      <c r="F74" s="2" t="s">
        <v>766</v>
      </c>
      <c r="G74" s="5" t="s">
        <v>31</v>
      </c>
      <c r="H74" s="5" t="s">
        <v>767</v>
      </c>
      <c r="I74" s="5" t="s">
        <v>768</v>
      </c>
      <c r="J74" s="6">
        <v>304787</v>
      </c>
      <c r="K74" s="5" t="s">
        <v>769</v>
      </c>
      <c r="L74" s="5" t="s">
        <v>31</v>
      </c>
      <c r="M74" s="5" t="s">
        <v>31</v>
      </c>
      <c r="N74" s="6">
        <v>0</v>
      </c>
      <c r="O74" s="5" t="s">
        <v>31</v>
      </c>
      <c r="P74" s="6">
        <v>0</v>
      </c>
      <c r="Q74" s="7">
        <v>2756479</v>
      </c>
      <c r="R74" s="7">
        <f t="shared" si="0"/>
        <v>102091.81481481482</v>
      </c>
      <c r="S74" s="7">
        <v>130</v>
      </c>
      <c r="T74" s="7">
        <v>111</v>
      </c>
      <c r="U74" s="7">
        <f t="shared" si="1"/>
        <v>304787</v>
      </c>
      <c r="V74" s="7">
        <f t="shared" si="2"/>
        <v>406878.81481481483</v>
      </c>
      <c r="W74" s="8">
        <f t="shared" si="3"/>
        <v>0.25091455022370845</v>
      </c>
      <c r="X74" s="5" t="s">
        <v>770</v>
      </c>
      <c r="Y74" s="5" t="s">
        <v>39</v>
      </c>
      <c r="Z74" s="5" t="s">
        <v>771</v>
      </c>
    </row>
    <row r="75" spans="1:26" ht="14.4" x14ac:dyDescent="0.3">
      <c r="A75" s="9" t="s">
        <v>26</v>
      </c>
      <c r="B75" s="9" t="s">
        <v>772</v>
      </c>
      <c r="C75" s="10">
        <v>74</v>
      </c>
      <c r="D75" s="4" t="s">
        <v>773</v>
      </c>
      <c r="E75" s="9" t="s">
        <v>774</v>
      </c>
      <c r="F75" s="9" t="s">
        <v>775</v>
      </c>
      <c r="G75" s="11" t="s">
        <v>31</v>
      </c>
      <c r="H75" s="11" t="s">
        <v>776</v>
      </c>
      <c r="I75" s="11" t="s">
        <v>777</v>
      </c>
      <c r="J75" s="12">
        <v>188170</v>
      </c>
      <c r="K75" s="11" t="s">
        <v>778</v>
      </c>
      <c r="L75" s="11" t="s">
        <v>31</v>
      </c>
      <c r="M75" s="11" t="s">
        <v>31</v>
      </c>
      <c r="N75" s="12">
        <v>0</v>
      </c>
      <c r="O75" s="11" t="s">
        <v>31</v>
      </c>
      <c r="P75" s="12">
        <v>0</v>
      </c>
      <c r="Q75" s="15">
        <f>IFERROR(VLOOKUP(F75,'[1]Colombia Radio'!$C$2:$E$97118,2,0),0)</f>
        <v>0</v>
      </c>
      <c r="R75" s="15">
        <f t="shared" si="0"/>
        <v>0</v>
      </c>
      <c r="S75" s="15">
        <f>IFERROR(VLOOKUP(F75,'[1]Colombia Radio'!$C$2:$E$69000,3,0),0)</f>
        <v>0</v>
      </c>
      <c r="T75" s="15">
        <f>IFERROR(VLOOKUP(F75,'[1]Colombia Radio'!$C$2:$F$69000,4,0),0)</f>
        <v>0</v>
      </c>
      <c r="U75" s="15">
        <f t="shared" si="1"/>
        <v>188170</v>
      </c>
      <c r="V75" s="15">
        <f t="shared" si="2"/>
        <v>188170</v>
      </c>
      <c r="W75" s="16">
        <f t="shared" si="3"/>
        <v>0</v>
      </c>
      <c r="X75" s="11" t="s">
        <v>779</v>
      </c>
      <c r="Y75" s="11" t="s">
        <v>39</v>
      </c>
      <c r="Z75" s="11"/>
    </row>
    <row r="76" spans="1:26" ht="14.4" x14ac:dyDescent="0.3">
      <c r="A76" s="9" t="s">
        <v>26</v>
      </c>
      <c r="B76" s="9" t="s">
        <v>780</v>
      </c>
      <c r="C76" s="3">
        <v>75</v>
      </c>
      <c r="D76" s="4" t="s">
        <v>781</v>
      </c>
      <c r="E76" s="9" t="s">
        <v>782</v>
      </c>
      <c r="F76" s="9" t="s">
        <v>783</v>
      </c>
      <c r="G76" s="11" t="s">
        <v>31</v>
      </c>
      <c r="H76" s="11" t="s">
        <v>784</v>
      </c>
      <c r="I76" s="11" t="s">
        <v>785</v>
      </c>
      <c r="J76" s="12">
        <v>362722</v>
      </c>
      <c r="K76" s="11" t="s">
        <v>786</v>
      </c>
      <c r="L76" s="11" t="s">
        <v>31</v>
      </c>
      <c r="M76" s="11" t="s">
        <v>31</v>
      </c>
      <c r="N76" s="12">
        <v>0</v>
      </c>
      <c r="O76" s="11" t="s">
        <v>31</v>
      </c>
      <c r="P76" s="12">
        <v>0</v>
      </c>
      <c r="Q76" s="13">
        <v>921062</v>
      </c>
      <c r="R76" s="13">
        <f t="shared" si="0"/>
        <v>34113.407407407409</v>
      </c>
      <c r="S76" s="13">
        <v>50</v>
      </c>
      <c r="T76" s="13">
        <v>966</v>
      </c>
      <c r="U76" s="13">
        <f t="shared" si="1"/>
        <v>362722</v>
      </c>
      <c r="V76" s="13">
        <f t="shared" si="2"/>
        <v>396835.40740740742</v>
      </c>
      <c r="W76" s="14">
        <f t="shared" si="3"/>
        <v>8.5963618091127625E-2</v>
      </c>
      <c r="X76" s="11" t="s">
        <v>787</v>
      </c>
      <c r="Y76" s="11" t="s">
        <v>39</v>
      </c>
      <c r="Z76" s="11" t="s">
        <v>788</v>
      </c>
    </row>
    <row r="77" spans="1:26" ht="14.4" x14ac:dyDescent="0.3">
      <c r="A77" s="9" t="s">
        <v>26</v>
      </c>
      <c r="B77" s="9" t="s">
        <v>789</v>
      </c>
      <c r="C77" s="10">
        <v>76</v>
      </c>
      <c r="D77" s="4" t="s">
        <v>360</v>
      </c>
      <c r="E77" s="9" t="s">
        <v>361</v>
      </c>
      <c r="F77" s="9" t="s">
        <v>790</v>
      </c>
      <c r="G77" s="11" t="s">
        <v>31</v>
      </c>
      <c r="H77" s="11" t="s">
        <v>791</v>
      </c>
      <c r="I77" s="11" t="s">
        <v>792</v>
      </c>
      <c r="J77" s="12">
        <v>221954</v>
      </c>
      <c r="K77" s="11" t="s">
        <v>793</v>
      </c>
      <c r="L77" s="11" t="s">
        <v>794</v>
      </c>
      <c r="M77" s="11" t="s">
        <v>795</v>
      </c>
      <c r="N77" s="12">
        <v>73</v>
      </c>
      <c r="O77" s="11" t="s">
        <v>796</v>
      </c>
      <c r="P77" s="12">
        <v>0</v>
      </c>
      <c r="Q77" s="15">
        <f>IFERROR(VLOOKUP(F77,'[1]Colombia Radio'!$C$2:$E$97118,2,0),0)</f>
        <v>0</v>
      </c>
      <c r="R77" s="15">
        <f t="shared" si="0"/>
        <v>0</v>
      </c>
      <c r="S77" s="15">
        <f>IFERROR(VLOOKUP(F77,'[1]Colombia Radio'!$C$2:$E$69000,3,0),0)</f>
        <v>0</v>
      </c>
      <c r="T77" s="15">
        <f>IFERROR(VLOOKUP(F77,'[1]Colombia Radio'!$C$2:$F$69000,4,0),0)</f>
        <v>0</v>
      </c>
      <c r="U77" s="15">
        <f t="shared" si="1"/>
        <v>222027</v>
      </c>
      <c r="V77" s="15">
        <f t="shared" si="2"/>
        <v>222027</v>
      </c>
      <c r="W77" s="16">
        <f t="shared" si="3"/>
        <v>0</v>
      </c>
      <c r="X77" s="11" t="s">
        <v>797</v>
      </c>
      <c r="Y77" s="11" t="s">
        <v>39</v>
      </c>
      <c r="Z77" s="11" t="s">
        <v>798</v>
      </c>
    </row>
    <row r="78" spans="1:26" ht="14.4" x14ac:dyDescent="0.3">
      <c r="A78" s="2" t="s">
        <v>26</v>
      </c>
      <c r="B78" s="2" t="s">
        <v>799</v>
      </c>
      <c r="C78" s="3">
        <v>77</v>
      </c>
      <c r="D78" s="4" t="s">
        <v>800</v>
      </c>
      <c r="E78" s="2" t="s">
        <v>801</v>
      </c>
      <c r="F78" s="2" t="s">
        <v>802</v>
      </c>
      <c r="G78" s="5" t="s">
        <v>31</v>
      </c>
      <c r="H78" s="5" t="s">
        <v>803</v>
      </c>
      <c r="I78" s="5" t="s">
        <v>804</v>
      </c>
      <c r="J78" s="6">
        <v>379622</v>
      </c>
      <c r="K78" s="5" t="s">
        <v>805</v>
      </c>
      <c r="L78" s="5" t="s">
        <v>806</v>
      </c>
      <c r="M78" s="5" t="s">
        <v>807</v>
      </c>
      <c r="N78" s="6">
        <v>7330</v>
      </c>
      <c r="O78" s="5" t="s">
        <v>808</v>
      </c>
      <c r="P78" s="6">
        <v>0</v>
      </c>
      <c r="Q78" s="7">
        <v>240771</v>
      </c>
      <c r="R78" s="7">
        <f t="shared" si="0"/>
        <v>8917.4444444444453</v>
      </c>
      <c r="S78" s="7">
        <v>7</v>
      </c>
      <c r="T78" s="7">
        <v>5221</v>
      </c>
      <c r="U78" s="7">
        <f t="shared" si="1"/>
        <v>386952</v>
      </c>
      <c r="V78" s="7">
        <f t="shared" si="2"/>
        <v>395869.44444444444</v>
      </c>
      <c r="W78" s="8">
        <f t="shared" si="3"/>
        <v>2.2526225677657479E-2</v>
      </c>
      <c r="X78" s="5" t="s">
        <v>809</v>
      </c>
      <c r="Y78" s="5" t="s">
        <v>39</v>
      </c>
      <c r="Z78" s="5" t="s">
        <v>810</v>
      </c>
    </row>
    <row r="79" spans="1:26" ht="14.4" x14ac:dyDescent="0.3">
      <c r="A79" s="2" t="s">
        <v>26</v>
      </c>
      <c r="B79" s="2" t="s">
        <v>811</v>
      </c>
      <c r="C79" s="10">
        <v>78</v>
      </c>
      <c r="D79" s="4" t="s">
        <v>812</v>
      </c>
      <c r="E79" s="2" t="s">
        <v>813</v>
      </c>
      <c r="F79" s="2" t="s">
        <v>814</v>
      </c>
      <c r="G79" s="5" t="s">
        <v>31</v>
      </c>
      <c r="H79" s="5" t="s">
        <v>815</v>
      </c>
      <c r="I79" s="5" t="s">
        <v>816</v>
      </c>
      <c r="J79" s="6">
        <v>273683</v>
      </c>
      <c r="K79" s="5" t="s">
        <v>817</v>
      </c>
      <c r="L79" s="5" t="s">
        <v>31</v>
      </c>
      <c r="M79" s="5" t="s">
        <v>31</v>
      </c>
      <c r="N79" s="6">
        <v>0</v>
      </c>
      <c r="O79" s="5" t="s">
        <v>31</v>
      </c>
      <c r="P79" s="6">
        <v>0</v>
      </c>
      <c r="Q79" s="18">
        <v>0</v>
      </c>
      <c r="R79" s="18">
        <f t="shared" si="0"/>
        <v>0</v>
      </c>
      <c r="S79" s="18">
        <v>0</v>
      </c>
      <c r="T79" s="18">
        <v>0</v>
      </c>
      <c r="U79" s="18">
        <f t="shared" si="1"/>
        <v>273683</v>
      </c>
      <c r="V79" s="18">
        <f t="shared" si="2"/>
        <v>273683</v>
      </c>
      <c r="W79" s="19">
        <f t="shared" si="3"/>
        <v>0</v>
      </c>
      <c r="X79" s="5" t="s">
        <v>818</v>
      </c>
      <c r="Y79" s="5" t="s">
        <v>39</v>
      </c>
      <c r="Z79" s="5" t="s">
        <v>819</v>
      </c>
    </row>
    <row r="80" spans="1:26" ht="14.4" x14ac:dyDescent="0.3">
      <c r="A80" s="2" t="s">
        <v>26</v>
      </c>
      <c r="B80" s="2" t="s">
        <v>820</v>
      </c>
      <c r="C80" s="3">
        <v>79</v>
      </c>
      <c r="D80" s="4" t="s">
        <v>283</v>
      </c>
      <c r="E80" s="2" t="s">
        <v>284</v>
      </c>
      <c r="F80" s="2" t="s">
        <v>821</v>
      </c>
      <c r="G80" s="5" t="s">
        <v>31</v>
      </c>
      <c r="H80" s="5" t="s">
        <v>822</v>
      </c>
      <c r="I80" s="5" t="s">
        <v>823</v>
      </c>
      <c r="J80" s="6">
        <v>261600</v>
      </c>
      <c r="K80" s="5" t="s">
        <v>824</v>
      </c>
      <c r="L80" s="5" t="s">
        <v>825</v>
      </c>
      <c r="M80" s="5" t="s">
        <v>826</v>
      </c>
      <c r="N80" s="6">
        <v>4789</v>
      </c>
      <c r="O80" s="5" t="s">
        <v>827</v>
      </c>
      <c r="P80" s="6">
        <v>0</v>
      </c>
      <c r="Q80" s="15">
        <v>0</v>
      </c>
      <c r="R80" s="15">
        <f t="shared" si="0"/>
        <v>0</v>
      </c>
      <c r="S80" s="15">
        <v>0</v>
      </c>
      <c r="T80" s="15">
        <v>0</v>
      </c>
      <c r="U80" s="15">
        <f t="shared" si="1"/>
        <v>266389</v>
      </c>
      <c r="V80" s="15">
        <f t="shared" si="2"/>
        <v>266389</v>
      </c>
      <c r="W80" s="16">
        <f t="shared" si="3"/>
        <v>0</v>
      </c>
      <c r="X80" s="5" t="s">
        <v>828</v>
      </c>
      <c r="Y80" s="5" t="s">
        <v>39</v>
      </c>
      <c r="Z80" s="5" t="s">
        <v>829</v>
      </c>
    </row>
    <row r="81" spans="1:26" ht="14.4" x14ac:dyDescent="0.3">
      <c r="A81" s="9" t="s">
        <v>26</v>
      </c>
      <c r="B81" s="9" t="s">
        <v>830</v>
      </c>
      <c r="C81" s="10">
        <v>80</v>
      </c>
      <c r="D81" s="4" t="s">
        <v>831</v>
      </c>
      <c r="E81" s="9" t="s">
        <v>832</v>
      </c>
      <c r="F81" s="4" t="s">
        <v>833</v>
      </c>
      <c r="G81" s="11" t="s">
        <v>31</v>
      </c>
      <c r="H81" s="11" t="s">
        <v>834</v>
      </c>
      <c r="I81" s="11" t="s">
        <v>835</v>
      </c>
      <c r="J81" s="12">
        <v>321553</v>
      </c>
      <c r="K81" s="11" t="s">
        <v>836</v>
      </c>
      <c r="L81" s="11" t="s">
        <v>837</v>
      </c>
      <c r="M81" s="11" t="s">
        <v>838</v>
      </c>
      <c r="N81" s="12">
        <v>7389</v>
      </c>
      <c r="O81" s="11" t="s">
        <v>839</v>
      </c>
      <c r="P81" s="12">
        <v>0</v>
      </c>
      <c r="Q81" s="13">
        <v>1419821</v>
      </c>
      <c r="R81" s="13">
        <f t="shared" si="0"/>
        <v>52585.962962962964</v>
      </c>
      <c r="S81" s="13">
        <v>68</v>
      </c>
      <c r="T81" s="13">
        <v>391</v>
      </c>
      <c r="U81" s="13">
        <f t="shared" si="1"/>
        <v>328942</v>
      </c>
      <c r="V81" s="13">
        <f t="shared" si="2"/>
        <v>381527.96296296298</v>
      </c>
      <c r="W81" s="14">
        <f t="shared" si="3"/>
        <v>0.13782990519116359</v>
      </c>
      <c r="X81" s="11" t="s">
        <v>840</v>
      </c>
      <c r="Y81" s="11" t="s">
        <v>39</v>
      </c>
      <c r="Z81" s="11" t="s">
        <v>841</v>
      </c>
    </row>
    <row r="82" spans="1:26" ht="14.4" x14ac:dyDescent="0.3">
      <c r="A82" s="2" t="s">
        <v>26</v>
      </c>
      <c r="B82" s="2" t="s">
        <v>842</v>
      </c>
      <c r="C82" s="3">
        <v>81</v>
      </c>
      <c r="D82" s="4" t="s">
        <v>843</v>
      </c>
      <c r="E82" s="2" t="s">
        <v>844</v>
      </c>
      <c r="F82" s="4" t="s">
        <v>845</v>
      </c>
      <c r="G82" s="5" t="s">
        <v>31</v>
      </c>
      <c r="H82" s="5" t="s">
        <v>846</v>
      </c>
      <c r="I82" s="5" t="s">
        <v>847</v>
      </c>
      <c r="J82" s="6">
        <v>241076</v>
      </c>
      <c r="K82" s="5" t="s">
        <v>848</v>
      </c>
      <c r="L82" s="5" t="s">
        <v>849</v>
      </c>
      <c r="M82" s="5" t="s">
        <v>850</v>
      </c>
      <c r="N82" s="6">
        <v>4643</v>
      </c>
      <c r="O82" s="5" t="s">
        <v>851</v>
      </c>
      <c r="P82" s="6">
        <v>0</v>
      </c>
      <c r="Q82" s="15">
        <f>IFERROR(VLOOKUP(F82,'[1]Colombia Radio'!$C$2:$E$97118,2,0),0)</f>
        <v>0</v>
      </c>
      <c r="R82" s="15">
        <f t="shared" si="0"/>
        <v>0</v>
      </c>
      <c r="S82" s="15">
        <f>IFERROR(VLOOKUP(F82,'[1]Colombia Radio'!$C$2:$E$69000,3,0),0)</f>
        <v>0</v>
      </c>
      <c r="T82" s="15">
        <f>IFERROR(VLOOKUP(F82,'[1]Colombia Radio'!$C$2:$F$69000,4,0),0)</f>
        <v>0</v>
      </c>
      <c r="U82" s="15">
        <f t="shared" si="1"/>
        <v>245719</v>
      </c>
      <c r="V82" s="15">
        <f t="shared" si="2"/>
        <v>245719</v>
      </c>
      <c r="W82" s="16">
        <f t="shared" si="3"/>
        <v>0</v>
      </c>
      <c r="X82" s="5" t="s">
        <v>852</v>
      </c>
      <c r="Y82" s="5" t="s">
        <v>39</v>
      </c>
      <c r="Z82" s="5" t="s">
        <v>853</v>
      </c>
    </row>
    <row r="83" spans="1:26" ht="14.4" x14ac:dyDescent="0.3">
      <c r="A83" s="2" t="s">
        <v>26</v>
      </c>
      <c r="B83" s="2" t="s">
        <v>854</v>
      </c>
      <c r="C83" s="10">
        <v>82</v>
      </c>
      <c r="D83" s="4" t="s">
        <v>800</v>
      </c>
      <c r="E83" s="2" t="s">
        <v>801</v>
      </c>
      <c r="F83" s="2" t="s">
        <v>855</v>
      </c>
      <c r="G83" s="5" t="s">
        <v>31</v>
      </c>
      <c r="H83" s="5" t="s">
        <v>856</v>
      </c>
      <c r="I83" s="5" t="s">
        <v>857</v>
      </c>
      <c r="J83" s="6">
        <v>352186</v>
      </c>
      <c r="K83" s="5" t="s">
        <v>858</v>
      </c>
      <c r="L83" s="5" t="s">
        <v>31</v>
      </c>
      <c r="M83" s="5" t="s">
        <v>31</v>
      </c>
      <c r="N83" s="6">
        <v>0</v>
      </c>
      <c r="O83" s="5" t="s">
        <v>31</v>
      </c>
      <c r="P83" s="6">
        <v>0</v>
      </c>
      <c r="Q83" s="7">
        <v>782933</v>
      </c>
      <c r="R83" s="7">
        <f t="shared" si="0"/>
        <v>28997.518518518518</v>
      </c>
      <c r="S83" s="7">
        <v>18</v>
      </c>
      <c r="T83" s="7">
        <v>1292</v>
      </c>
      <c r="U83" s="7">
        <f t="shared" si="1"/>
        <v>352186</v>
      </c>
      <c r="V83" s="7">
        <f t="shared" si="2"/>
        <v>381183.51851851854</v>
      </c>
      <c r="W83" s="8">
        <f t="shared" si="3"/>
        <v>7.6072330281273082E-2</v>
      </c>
      <c r="X83" s="5" t="s">
        <v>859</v>
      </c>
      <c r="Y83" s="5" t="s">
        <v>39</v>
      </c>
      <c r="Z83" s="5" t="s">
        <v>860</v>
      </c>
    </row>
    <row r="84" spans="1:26" ht="14.4" x14ac:dyDescent="0.3">
      <c r="A84" s="9" t="s">
        <v>26</v>
      </c>
      <c r="B84" s="9" t="s">
        <v>861</v>
      </c>
      <c r="C84" s="3">
        <v>83</v>
      </c>
      <c r="D84" s="4" t="s">
        <v>862</v>
      </c>
      <c r="E84" s="9" t="s">
        <v>863</v>
      </c>
      <c r="F84" s="9" t="s">
        <v>864</v>
      </c>
      <c r="G84" s="11" t="s">
        <v>31</v>
      </c>
      <c r="H84" s="11" t="s">
        <v>865</v>
      </c>
      <c r="I84" s="11" t="s">
        <v>866</v>
      </c>
      <c r="J84" s="12">
        <v>245043</v>
      </c>
      <c r="K84" s="11" t="s">
        <v>867</v>
      </c>
      <c r="L84" s="11" t="s">
        <v>31</v>
      </c>
      <c r="M84" s="11" t="s">
        <v>31</v>
      </c>
      <c r="N84" s="12">
        <v>0</v>
      </c>
      <c r="O84" s="11" t="s">
        <v>31</v>
      </c>
      <c r="P84" s="12">
        <v>0</v>
      </c>
      <c r="Q84" s="18">
        <v>0</v>
      </c>
      <c r="R84" s="18">
        <f t="shared" si="0"/>
        <v>0</v>
      </c>
      <c r="S84" s="18">
        <v>0</v>
      </c>
      <c r="T84" s="18">
        <v>0</v>
      </c>
      <c r="U84" s="18">
        <f t="shared" si="1"/>
        <v>245043</v>
      </c>
      <c r="V84" s="18">
        <f t="shared" si="2"/>
        <v>245043</v>
      </c>
      <c r="W84" s="19">
        <f t="shared" si="3"/>
        <v>0</v>
      </c>
      <c r="X84" s="11" t="s">
        <v>868</v>
      </c>
      <c r="Y84" s="11" t="s">
        <v>39</v>
      </c>
      <c r="Z84" s="11" t="s">
        <v>869</v>
      </c>
    </row>
    <row r="85" spans="1:26" ht="14.4" x14ac:dyDescent="0.3">
      <c r="A85" s="2" t="s">
        <v>26</v>
      </c>
      <c r="B85" s="2" t="s">
        <v>870</v>
      </c>
      <c r="C85" s="10">
        <v>84</v>
      </c>
      <c r="D85" s="4" t="s">
        <v>871</v>
      </c>
      <c r="E85" s="2" t="s">
        <v>872</v>
      </c>
      <c r="F85" s="2" t="s">
        <v>873</v>
      </c>
      <c r="G85" s="5" t="s">
        <v>31</v>
      </c>
      <c r="H85" s="5" t="s">
        <v>874</v>
      </c>
      <c r="I85" s="5" t="s">
        <v>875</v>
      </c>
      <c r="J85" s="6">
        <v>225634</v>
      </c>
      <c r="K85" s="5" t="s">
        <v>876</v>
      </c>
      <c r="L85" s="5" t="s">
        <v>877</v>
      </c>
      <c r="M85" s="5" t="s">
        <v>878</v>
      </c>
      <c r="N85" s="6">
        <v>4987</v>
      </c>
      <c r="O85" s="5" t="s">
        <v>879</v>
      </c>
      <c r="P85" s="6">
        <v>0</v>
      </c>
      <c r="Q85" s="15">
        <v>0</v>
      </c>
      <c r="R85" s="15">
        <f t="shared" si="0"/>
        <v>0</v>
      </c>
      <c r="S85" s="15">
        <v>0</v>
      </c>
      <c r="T85" s="15">
        <v>0</v>
      </c>
      <c r="U85" s="15">
        <f t="shared" si="1"/>
        <v>230621</v>
      </c>
      <c r="V85" s="15">
        <f t="shared" si="2"/>
        <v>230621</v>
      </c>
      <c r="W85" s="16">
        <f t="shared" si="3"/>
        <v>0</v>
      </c>
      <c r="X85" s="5" t="s">
        <v>880</v>
      </c>
      <c r="Y85" s="5" t="s">
        <v>39</v>
      </c>
      <c r="Z85" s="5" t="s">
        <v>881</v>
      </c>
    </row>
    <row r="86" spans="1:26" ht="14.4" x14ac:dyDescent="0.3">
      <c r="A86" s="9" t="s">
        <v>26</v>
      </c>
      <c r="B86" s="9" t="s">
        <v>882</v>
      </c>
      <c r="C86" s="3">
        <v>85</v>
      </c>
      <c r="D86" s="4" t="s">
        <v>883</v>
      </c>
      <c r="E86" s="9" t="s">
        <v>884</v>
      </c>
      <c r="F86" s="20" t="s">
        <v>885</v>
      </c>
      <c r="G86" s="11" t="s">
        <v>31</v>
      </c>
      <c r="H86" s="11" t="s">
        <v>886</v>
      </c>
      <c r="I86" s="11" t="s">
        <v>887</v>
      </c>
      <c r="J86" s="12">
        <v>319912</v>
      </c>
      <c r="K86" s="11" t="s">
        <v>888</v>
      </c>
      <c r="L86" s="11" t="s">
        <v>31</v>
      </c>
      <c r="M86" s="11" t="s">
        <v>31</v>
      </c>
      <c r="N86" s="12">
        <v>0</v>
      </c>
      <c r="O86" s="11" t="s">
        <v>31</v>
      </c>
      <c r="P86" s="12">
        <v>0</v>
      </c>
      <c r="Q86" s="13">
        <v>1303190</v>
      </c>
      <c r="R86" s="13">
        <f t="shared" si="0"/>
        <v>48266.296296296299</v>
      </c>
      <c r="S86" s="13">
        <v>60</v>
      </c>
      <c r="T86" s="13">
        <v>476</v>
      </c>
      <c r="U86" s="13">
        <f t="shared" si="1"/>
        <v>319912</v>
      </c>
      <c r="V86" s="13">
        <f t="shared" si="2"/>
        <v>368178.29629629629</v>
      </c>
      <c r="W86" s="14">
        <f t="shared" si="3"/>
        <v>0.13109489826487047</v>
      </c>
      <c r="X86" s="11" t="s">
        <v>889</v>
      </c>
      <c r="Y86" s="11" t="s">
        <v>39</v>
      </c>
      <c r="Z86" s="11" t="s">
        <v>890</v>
      </c>
    </row>
    <row r="87" spans="1:26" ht="14.4" x14ac:dyDescent="0.3">
      <c r="A87" s="2" t="s">
        <v>26</v>
      </c>
      <c r="B87" s="2" t="s">
        <v>891</v>
      </c>
      <c r="C87" s="10">
        <v>86</v>
      </c>
      <c r="D87" s="4" t="s">
        <v>892</v>
      </c>
      <c r="E87" s="2" t="s">
        <v>893</v>
      </c>
      <c r="F87" s="2" t="s">
        <v>894</v>
      </c>
      <c r="G87" s="5" t="s">
        <v>31</v>
      </c>
      <c r="H87" s="5" t="s">
        <v>895</v>
      </c>
      <c r="I87" s="5" t="s">
        <v>896</v>
      </c>
      <c r="J87" s="6">
        <v>295569</v>
      </c>
      <c r="K87" s="5" t="s">
        <v>897</v>
      </c>
      <c r="L87" s="5" t="s">
        <v>31</v>
      </c>
      <c r="M87" s="5" t="s">
        <v>31</v>
      </c>
      <c r="N87" s="6">
        <v>0</v>
      </c>
      <c r="O87" s="5" t="s">
        <v>31</v>
      </c>
      <c r="P87" s="6">
        <v>0</v>
      </c>
      <c r="Q87" s="7">
        <v>1932679</v>
      </c>
      <c r="R87" s="7">
        <f t="shared" si="0"/>
        <v>71580.703703703708</v>
      </c>
      <c r="S87" s="7">
        <v>121</v>
      </c>
      <c r="T87" s="7">
        <v>213</v>
      </c>
      <c r="U87" s="7">
        <f t="shared" si="1"/>
        <v>295569</v>
      </c>
      <c r="V87" s="7">
        <f t="shared" si="2"/>
        <v>367149.70370370371</v>
      </c>
      <c r="W87" s="8">
        <f t="shared" si="3"/>
        <v>0.19496326152960919</v>
      </c>
      <c r="X87" s="5" t="s">
        <v>898</v>
      </c>
      <c r="Y87" s="5" t="s">
        <v>39</v>
      </c>
      <c r="Z87" s="5" t="s">
        <v>899</v>
      </c>
    </row>
    <row r="88" spans="1:26" ht="14.4" x14ac:dyDescent="0.3">
      <c r="A88" s="9" t="s">
        <v>26</v>
      </c>
      <c r="B88" s="9" t="s">
        <v>900</v>
      </c>
      <c r="C88" s="3">
        <v>87</v>
      </c>
      <c r="D88" s="4" t="s">
        <v>283</v>
      </c>
      <c r="E88" s="9" t="s">
        <v>284</v>
      </c>
      <c r="F88" s="9" t="s">
        <v>901</v>
      </c>
      <c r="G88" s="11" t="s">
        <v>31</v>
      </c>
      <c r="H88" s="11" t="s">
        <v>902</v>
      </c>
      <c r="I88" s="11" t="s">
        <v>903</v>
      </c>
      <c r="J88" s="12">
        <v>332612</v>
      </c>
      <c r="K88" s="11" t="s">
        <v>904</v>
      </c>
      <c r="L88" s="11" t="s">
        <v>905</v>
      </c>
      <c r="M88" s="11" t="s">
        <v>906</v>
      </c>
      <c r="N88" s="12">
        <v>5832</v>
      </c>
      <c r="O88" s="11" t="s">
        <v>907</v>
      </c>
      <c r="P88" s="12">
        <v>0</v>
      </c>
      <c r="Q88" s="13">
        <v>743715</v>
      </c>
      <c r="R88" s="13">
        <f t="shared" si="0"/>
        <v>27545</v>
      </c>
      <c r="S88" s="13">
        <v>57</v>
      </c>
      <c r="T88" s="13">
        <v>1404</v>
      </c>
      <c r="U88" s="13">
        <f t="shared" si="1"/>
        <v>338444</v>
      </c>
      <c r="V88" s="13">
        <f t="shared" si="2"/>
        <v>365989</v>
      </c>
      <c r="W88" s="14">
        <f t="shared" si="3"/>
        <v>7.5261824808942349E-2</v>
      </c>
      <c r="X88" s="11" t="s">
        <v>908</v>
      </c>
      <c r="Y88" s="11" t="s">
        <v>39</v>
      </c>
      <c r="Z88" s="11" t="s">
        <v>909</v>
      </c>
    </row>
    <row r="89" spans="1:26" ht="14.4" x14ac:dyDescent="0.3">
      <c r="A89" s="2" t="s">
        <v>26</v>
      </c>
      <c r="B89" s="2" t="s">
        <v>910</v>
      </c>
      <c r="C89" s="10">
        <v>88</v>
      </c>
      <c r="D89" s="4" t="s">
        <v>313</v>
      </c>
      <c r="E89" s="2" t="s">
        <v>314</v>
      </c>
      <c r="F89" s="4" t="s">
        <v>911</v>
      </c>
      <c r="G89" s="5" t="s">
        <v>31</v>
      </c>
      <c r="H89" s="5" t="s">
        <v>912</v>
      </c>
      <c r="I89" s="5" t="s">
        <v>913</v>
      </c>
      <c r="J89" s="6">
        <v>286355</v>
      </c>
      <c r="K89" s="5" t="s">
        <v>914</v>
      </c>
      <c r="L89" s="5" t="s">
        <v>915</v>
      </c>
      <c r="M89" s="5" t="s">
        <v>916</v>
      </c>
      <c r="N89" s="6">
        <v>147</v>
      </c>
      <c r="O89" s="5" t="s">
        <v>917</v>
      </c>
      <c r="P89" s="6">
        <v>0</v>
      </c>
      <c r="Q89" s="7">
        <v>2144934</v>
      </c>
      <c r="R89" s="7">
        <f t="shared" si="0"/>
        <v>79442</v>
      </c>
      <c r="S89" s="7">
        <v>207</v>
      </c>
      <c r="T89" s="7">
        <v>176</v>
      </c>
      <c r="U89" s="7">
        <f t="shared" si="1"/>
        <v>286502</v>
      </c>
      <c r="V89" s="7">
        <f t="shared" si="2"/>
        <v>365944</v>
      </c>
      <c r="W89" s="8">
        <f t="shared" si="3"/>
        <v>0.21708786043766259</v>
      </c>
      <c r="X89" s="5" t="s">
        <v>918</v>
      </c>
      <c r="Y89" s="5" t="s">
        <v>39</v>
      </c>
      <c r="Z89" s="5" t="s">
        <v>919</v>
      </c>
    </row>
    <row r="90" spans="1:26" ht="14.4" x14ac:dyDescent="0.3">
      <c r="A90" s="2" t="s">
        <v>26</v>
      </c>
      <c r="B90" s="2" t="s">
        <v>920</v>
      </c>
      <c r="C90" s="3">
        <v>89</v>
      </c>
      <c r="D90" s="4" t="s">
        <v>921</v>
      </c>
      <c r="E90" s="2" t="s">
        <v>922</v>
      </c>
      <c r="F90" s="4" t="s">
        <v>923</v>
      </c>
      <c r="G90" s="5" t="s">
        <v>31</v>
      </c>
      <c r="H90" s="5" t="s">
        <v>924</v>
      </c>
      <c r="I90" s="5" t="s">
        <v>925</v>
      </c>
      <c r="J90" s="6">
        <v>326658</v>
      </c>
      <c r="K90" s="5" t="s">
        <v>926</v>
      </c>
      <c r="L90" s="5" t="s">
        <v>31</v>
      </c>
      <c r="M90" s="5" t="s">
        <v>31</v>
      </c>
      <c r="N90" s="6">
        <v>0</v>
      </c>
      <c r="O90" s="5" t="s">
        <v>31</v>
      </c>
      <c r="P90" s="6">
        <v>0</v>
      </c>
      <c r="Q90" s="18">
        <v>0</v>
      </c>
      <c r="R90" s="18">
        <f t="shared" si="0"/>
        <v>0</v>
      </c>
      <c r="S90" s="18">
        <v>0</v>
      </c>
      <c r="T90" s="18">
        <v>0</v>
      </c>
      <c r="U90" s="18">
        <f t="shared" si="1"/>
        <v>326658</v>
      </c>
      <c r="V90" s="18">
        <f t="shared" si="2"/>
        <v>326658</v>
      </c>
      <c r="W90" s="19">
        <f t="shared" si="3"/>
        <v>0</v>
      </c>
      <c r="X90" s="5" t="s">
        <v>927</v>
      </c>
      <c r="Y90" s="5" t="s">
        <v>39</v>
      </c>
      <c r="Z90" s="5" t="s">
        <v>928</v>
      </c>
    </row>
    <row r="91" spans="1:26" ht="14.4" x14ac:dyDescent="0.3">
      <c r="A91" s="9" t="s">
        <v>26</v>
      </c>
      <c r="B91" s="9" t="s">
        <v>929</v>
      </c>
      <c r="C91" s="10">
        <v>90</v>
      </c>
      <c r="D91" s="4" t="s">
        <v>930</v>
      </c>
      <c r="E91" s="9" t="s">
        <v>931</v>
      </c>
      <c r="F91" s="17" t="s">
        <v>932</v>
      </c>
      <c r="G91" s="11" t="s">
        <v>31</v>
      </c>
      <c r="H91" s="11" t="s">
        <v>933</v>
      </c>
      <c r="I91" s="11" t="s">
        <v>934</v>
      </c>
      <c r="J91" s="12">
        <v>269821</v>
      </c>
      <c r="K91" s="11" t="s">
        <v>935</v>
      </c>
      <c r="L91" s="11" t="s">
        <v>31</v>
      </c>
      <c r="M91" s="11" t="s">
        <v>31</v>
      </c>
      <c r="N91" s="12">
        <v>0</v>
      </c>
      <c r="O91" s="11" t="s">
        <v>31</v>
      </c>
      <c r="P91" s="12">
        <v>0</v>
      </c>
      <c r="Q91" s="18">
        <v>0</v>
      </c>
      <c r="R91" s="18">
        <f t="shared" si="0"/>
        <v>0</v>
      </c>
      <c r="S91" s="18">
        <v>0</v>
      </c>
      <c r="T91" s="18">
        <v>0</v>
      </c>
      <c r="U91" s="18">
        <f t="shared" si="1"/>
        <v>269821</v>
      </c>
      <c r="V91" s="18">
        <f t="shared" si="2"/>
        <v>269821</v>
      </c>
      <c r="W91" s="19">
        <f t="shared" si="3"/>
        <v>0</v>
      </c>
      <c r="X91" s="11" t="s">
        <v>936</v>
      </c>
      <c r="Y91" s="11" t="s">
        <v>39</v>
      </c>
      <c r="Z91" s="11" t="s">
        <v>937</v>
      </c>
    </row>
    <row r="92" spans="1:26" ht="14.4" x14ac:dyDescent="0.3">
      <c r="A92" s="2" t="s">
        <v>26</v>
      </c>
      <c r="B92" s="2" t="s">
        <v>938</v>
      </c>
      <c r="C92" s="3">
        <v>91</v>
      </c>
      <c r="D92" s="4" t="s">
        <v>939</v>
      </c>
      <c r="E92" s="2" t="s">
        <v>940</v>
      </c>
      <c r="F92" s="4" t="s">
        <v>941</v>
      </c>
      <c r="G92" s="5" t="s">
        <v>31</v>
      </c>
      <c r="H92" s="5" t="s">
        <v>942</v>
      </c>
      <c r="I92" s="5" t="s">
        <v>943</v>
      </c>
      <c r="J92" s="6">
        <v>238073</v>
      </c>
      <c r="K92" s="5" t="s">
        <v>944</v>
      </c>
      <c r="L92" s="5" t="s">
        <v>945</v>
      </c>
      <c r="M92" s="5" t="s">
        <v>946</v>
      </c>
      <c r="N92" s="6">
        <v>3876</v>
      </c>
      <c r="O92" s="5" t="s">
        <v>947</v>
      </c>
      <c r="P92" s="6">
        <v>0</v>
      </c>
      <c r="Q92" s="15">
        <v>0</v>
      </c>
      <c r="R92" s="15">
        <f t="shared" si="0"/>
        <v>0</v>
      </c>
      <c r="S92" s="15">
        <v>0</v>
      </c>
      <c r="T92" s="15">
        <v>0</v>
      </c>
      <c r="U92" s="15">
        <f t="shared" si="1"/>
        <v>241949</v>
      </c>
      <c r="V92" s="15">
        <f t="shared" si="2"/>
        <v>241949</v>
      </c>
      <c r="W92" s="16">
        <f t="shared" si="3"/>
        <v>0</v>
      </c>
      <c r="X92" s="5" t="s">
        <v>948</v>
      </c>
      <c r="Y92" s="5" t="s">
        <v>39</v>
      </c>
      <c r="Z92" s="5" t="s">
        <v>949</v>
      </c>
    </row>
    <row r="93" spans="1:26" ht="14.4" x14ac:dyDescent="0.3">
      <c r="A93" s="9" t="s">
        <v>26</v>
      </c>
      <c r="B93" s="9" t="s">
        <v>950</v>
      </c>
      <c r="C93" s="10">
        <v>92</v>
      </c>
      <c r="D93" s="4" t="s">
        <v>283</v>
      </c>
      <c r="E93" s="9" t="s">
        <v>284</v>
      </c>
      <c r="F93" s="9" t="s">
        <v>951</v>
      </c>
      <c r="G93" s="11" t="s">
        <v>31</v>
      </c>
      <c r="H93" s="11" t="s">
        <v>952</v>
      </c>
      <c r="I93" s="11" t="s">
        <v>953</v>
      </c>
      <c r="J93" s="12">
        <v>268512</v>
      </c>
      <c r="K93" s="11" t="s">
        <v>954</v>
      </c>
      <c r="L93" s="11" t="s">
        <v>31</v>
      </c>
      <c r="M93" s="11" t="s">
        <v>31</v>
      </c>
      <c r="N93" s="12">
        <v>0</v>
      </c>
      <c r="O93" s="11" t="s">
        <v>31</v>
      </c>
      <c r="P93" s="12">
        <v>0</v>
      </c>
      <c r="Q93" s="15">
        <v>0</v>
      </c>
      <c r="R93" s="15">
        <f t="shared" si="0"/>
        <v>0</v>
      </c>
      <c r="S93" s="15">
        <v>0</v>
      </c>
      <c r="T93" s="15">
        <v>0</v>
      </c>
      <c r="U93" s="15">
        <f t="shared" si="1"/>
        <v>268512</v>
      </c>
      <c r="V93" s="15">
        <f t="shared" si="2"/>
        <v>268512</v>
      </c>
      <c r="W93" s="16">
        <f t="shared" si="3"/>
        <v>0</v>
      </c>
      <c r="X93" s="11" t="s">
        <v>955</v>
      </c>
      <c r="Y93" s="11" t="s">
        <v>39</v>
      </c>
      <c r="Z93" s="11" t="s">
        <v>956</v>
      </c>
    </row>
    <row r="94" spans="1:26" ht="14.4" x14ac:dyDescent="0.3">
      <c r="A94" s="9" t="s">
        <v>26</v>
      </c>
      <c r="B94" s="9" t="s">
        <v>957</v>
      </c>
      <c r="C94" s="3">
        <v>93</v>
      </c>
      <c r="D94" s="4" t="s">
        <v>958</v>
      </c>
      <c r="E94" s="9" t="s">
        <v>959</v>
      </c>
      <c r="F94" s="4" t="s">
        <v>960</v>
      </c>
      <c r="G94" s="11" t="s">
        <v>31</v>
      </c>
      <c r="H94" s="11" t="s">
        <v>961</v>
      </c>
      <c r="I94" s="11" t="s">
        <v>962</v>
      </c>
      <c r="J94" s="12">
        <v>300328</v>
      </c>
      <c r="K94" s="11" t="s">
        <v>963</v>
      </c>
      <c r="L94" s="11" t="s">
        <v>31</v>
      </c>
      <c r="M94" s="11" t="s">
        <v>31</v>
      </c>
      <c r="N94" s="12">
        <v>0</v>
      </c>
      <c r="O94" s="11" t="s">
        <v>31</v>
      </c>
      <c r="P94" s="12">
        <v>0</v>
      </c>
      <c r="Q94" s="13">
        <v>1360697</v>
      </c>
      <c r="R94" s="13">
        <f t="shared" si="0"/>
        <v>50396.185185185182</v>
      </c>
      <c r="S94" s="13">
        <v>80</v>
      </c>
      <c r="T94" s="13">
        <v>429</v>
      </c>
      <c r="U94" s="13">
        <f t="shared" si="1"/>
        <v>300328</v>
      </c>
      <c r="V94" s="13">
        <f t="shared" si="2"/>
        <v>350724.18518518517</v>
      </c>
      <c r="W94" s="14">
        <f t="shared" si="3"/>
        <v>0.14369178777498789</v>
      </c>
      <c r="X94" s="11" t="s">
        <v>964</v>
      </c>
      <c r="Y94" s="11" t="s">
        <v>39</v>
      </c>
      <c r="Z94" s="11" t="s">
        <v>965</v>
      </c>
    </row>
    <row r="95" spans="1:26" ht="14.4" x14ac:dyDescent="0.3">
      <c r="A95" s="2" t="s">
        <v>26</v>
      </c>
      <c r="B95" s="2" t="s">
        <v>966</v>
      </c>
      <c r="C95" s="10">
        <v>94</v>
      </c>
      <c r="D95" s="4" t="s">
        <v>967</v>
      </c>
      <c r="E95" s="2" t="s">
        <v>968</v>
      </c>
      <c r="F95" s="4" t="s">
        <v>969</v>
      </c>
      <c r="G95" s="5" t="s">
        <v>31</v>
      </c>
      <c r="H95" s="5" t="s">
        <v>970</v>
      </c>
      <c r="I95" s="5" t="s">
        <v>971</v>
      </c>
      <c r="J95" s="6">
        <v>350494</v>
      </c>
      <c r="K95" s="5" t="s">
        <v>972</v>
      </c>
      <c r="L95" s="5" t="s">
        <v>31</v>
      </c>
      <c r="M95" s="5" t="s">
        <v>31</v>
      </c>
      <c r="N95" s="6">
        <v>0</v>
      </c>
      <c r="O95" s="5" t="s">
        <v>31</v>
      </c>
      <c r="P95" s="6">
        <v>0</v>
      </c>
      <c r="Q95" s="15">
        <f>IFERROR(VLOOKUP(F95,'[1]Colombia Radio'!$C$2:$E$97118,2,0),0)</f>
        <v>0</v>
      </c>
      <c r="R95" s="15">
        <f t="shared" si="0"/>
        <v>0</v>
      </c>
      <c r="S95" s="15">
        <f>IFERROR(VLOOKUP(F95,'[1]Colombia Radio'!$C$2:$E$69000,3,0),0)</f>
        <v>0</v>
      </c>
      <c r="T95" s="15">
        <f>IFERROR(VLOOKUP(F95,'[1]Colombia Radio'!$C$2:$F$69000,4,0),0)</f>
        <v>0</v>
      </c>
      <c r="U95" s="15">
        <f t="shared" si="1"/>
        <v>350494</v>
      </c>
      <c r="V95" s="15">
        <f t="shared" si="2"/>
        <v>350494</v>
      </c>
      <c r="W95" s="16">
        <f t="shared" si="3"/>
        <v>0</v>
      </c>
      <c r="X95" s="5" t="s">
        <v>973</v>
      </c>
      <c r="Y95" s="5" t="s">
        <v>39</v>
      </c>
      <c r="Z95" s="5"/>
    </row>
    <row r="96" spans="1:26" ht="14.4" x14ac:dyDescent="0.3">
      <c r="A96" s="9" t="s">
        <v>26</v>
      </c>
      <c r="B96" s="9" t="s">
        <v>974</v>
      </c>
      <c r="C96" s="3">
        <v>95</v>
      </c>
      <c r="D96" s="4" t="s">
        <v>862</v>
      </c>
      <c r="E96" s="9" t="s">
        <v>863</v>
      </c>
      <c r="F96" s="9" t="s">
        <v>975</v>
      </c>
      <c r="G96" s="11" t="s">
        <v>31</v>
      </c>
      <c r="H96" s="11" t="s">
        <v>976</v>
      </c>
      <c r="I96" s="11" t="s">
        <v>977</v>
      </c>
      <c r="J96" s="12">
        <v>283545</v>
      </c>
      <c r="K96" s="11" t="s">
        <v>978</v>
      </c>
      <c r="L96" s="11" t="s">
        <v>31</v>
      </c>
      <c r="M96" s="11" t="s">
        <v>31</v>
      </c>
      <c r="N96" s="12">
        <v>0</v>
      </c>
      <c r="O96" s="11" t="s">
        <v>31</v>
      </c>
      <c r="P96" s="12">
        <v>0</v>
      </c>
      <c r="Q96" s="13">
        <v>1783682</v>
      </c>
      <c r="R96" s="13">
        <f t="shared" si="0"/>
        <v>66062.296296296292</v>
      </c>
      <c r="S96" s="13">
        <v>111</v>
      </c>
      <c r="T96" s="13">
        <v>251</v>
      </c>
      <c r="U96" s="13">
        <f t="shared" si="1"/>
        <v>283545</v>
      </c>
      <c r="V96" s="13">
        <f t="shared" si="2"/>
        <v>349607.29629629629</v>
      </c>
      <c r="W96" s="14">
        <f t="shared" si="3"/>
        <v>0.18896143471876434</v>
      </c>
      <c r="X96" s="11" t="s">
        <v>979</v>
      </c>
      <c r="Y96" s="11" t="s">
        <v>39</v>
      </c>
      <c r="Z96" s="11" t="s">
        <v>980</v>
      </c>
    </row>
    <row r="97" spans="1:26" ht="14.4" x14ac:dyDescent="0.3">
      <c r="A97" s="2" t="s">
        <v>26</v>
      </c>
      <c r="B97" s="2" t="s">
        <v>981</v>
      </c>
      <c r="C97" s="10">
        <v>96</v>
      </c>
      <c r="D97" s="4" t="s">
        <v>982</v>
      </c>
      <c r="E97" s="2" t="s">
        <v>983</v>
      </c>
      <c r="F97" s="2" t="s">
        <v>984</v>
      </c>
      <c r="G97" s="5" t="s">
        <v>31</v>
      </c>
      <c r="H97" s="5" t="s">
        <v>985</v>
      </c>
      <c r="I97" s="5" t="s">
        <v>986</v>
      </c>
      <c r="J97" s="6">
        <v>322157</v>
      </c>
      <c r="K97" s="5" t="s">
        <v>987</v>
      </c>
      <c r="L97" s="5" t="s">
        <v>988</v>
      </c>
      <c r="M97" s="5" t="s">
        <v>989</v>
      </c>
      <c r="N97" s="6">
        <v>7687</v>
      </c>
      <c r="O97" s="5" t="s">
        <v>990</v>
      </c>
      <c r="P97" s="6">
        <v>0</v>
      </c>
      <c r="Q97" s="7">
        <v>478958</v>
      </c>
      <c r="R97" s="7">
        <f t="shared" si="0"/>
        <v>17739.185185185186</v>
      </c>
      <c r="S97" s="7">
        <v>61</v>
      </c>
      <c r="T97" s="7">
        <v>2539</v>
      </c>
      <c r="U97" s="7">
        <f t="shared" si="1"/>
        <v>329844</v>
      </c>
      <c r="V97" s="7">
        <f t="shared" si="2"/>
        <v>347583.18518518517</v>
      </c>
      <c r="W97" s="8">
        <f t="shared" si="3"/>
        <v>5.1035797878813134E-2</v>
      </c>
      <c r="X97" s="5" t="s">
        <v>991</v>
      </c>
      <c r="Y97" s="5" t="s">
        <v>39</v>
      </c>
      <c r="Z97" s="5" t="s">
        <v>992</v>
      </c>
    </row>
    <row r="98" spans="1:26" ht="14.4" x14ac:dyDescent="0.3">
      <c r="A98" s="9" t="s">
        <v>26</v>
      </c>
      <c r="B98" s="9" t="s">
        <v>993</v>
      </c>
      <c r="C98" s="3">
        <v>97</v>
      </c>
      <c r="D98" s="4" t="s">
        <v>994</v>
      </c>
      <c r="E98" s="9" t="s">
        <v>995</v>
      </c>
      <c r="F98" s="9" t="s">
        <v>996</v>
      </c>
      <c r="G98" s="11" t="s">
        <v>31</v>
      </c>
      <c r="H98" s="11" t="s">
        <v>997</v>
      </c>
      <c r="I98" s="11" t="s">
        <v>998</v>
      </c>
      <c r="J98" s="12">
        <v>346559</v>
      </c>
      <c r="K98" s="11" t="s">
        <v>999</v>
      </c>
      <c r="L98" s="11" t="s">
        <v>31</v>
      </c>
      <c r="M98" s="11" t="s">
        <v>31</v>
      </c>
      <c r="N98" s="12">
        <v>0</v>
      </c>
      <c r="O98" s="11" t="s">
        <v>31</v>
      </c>
      <c r="P98" s="12">
        <v>0</v>
      </c>
      <c r="Q98" s="15">
        <v>0</v>
      </c>
      <c r="R98" s="15">
        <f t="shared" si="0"/>
        <v>0</v>
      </c>
      <c r="S98" s="15">
        <v>0</v>
      </c>
      <c r="T98" s="15">
        <v>0</v>
      </c>
      <c r="U98" s="15">
        <f t="shared" si="1"/>
        <v>346559</v>
      </c>
      <c r="V98" s="15">
        <f t="shared" si="2"/>
        <v>346559</v>
      </c>
      <c r="W98" s="16">
        <f t="shared" si="3"/>
        <v>0</v>
      </c>
      <c r="X98" s="11" t="s">
        <v>1000</v>
      </c>
      <c r="Y98" s="11" t="s">
        <v>39</v>
      </c>
      <c r="Z98" s="11" t="s">
        <v>1001</v>
      </c>
    </row>
    <row r="99" spans="1:26" ht="14.4" x14ac:dyDescent="0.3">
      <c r="A99" s="2" t="s">
        <v>26</v>
      </c>
      <c r="B99" s="2" t="s">
        <v>1002</v>
      </c>
      <c r="C99" s="10">
        <v>98</v>
      </c>
      <c r="D99" s="4" t="s">
        <v>42</v>
      </c>
      <c r="E99" s="2" t="s">
        <v>43</v>
      </c>
      <c r="F99" s="2" t="s">
        <v>1003</v>
      </c>
      <c r="G99" s="5" t="s">
        <v>31</v>
      </c>
      <c r="H99" s="5" t="s">
        <v>1004</v>
      </c>
      <c r="I99" s="5" t="s">
        <v>1005</v>
      </c>
      <c r="J99" s="6">
        <v>346218</v>
      </c>
      <c r="K99" s="5" t="s">
        <v>1006</v>
      </c>
      <c r="L99" s="5" t="s">
        <v>31</v>
      </c>
      <c r="M99" s="5" t="s">
        <v>31</v>
      </c>
      <c r="N99" s="6">
        <v>0</v>
      </c>
      <c r="O99" s="5" t="s">
        <v>31</v>
      </c>
      <c r="P99" s="6">
        <v>0</v>
      </c>
      <c r="Q99" s="18">
        <v>0</v>
      </c>
      <c r="R99" s="18">
        <f t="shared" si="0"/>
        <v>0</v>
      </c>
      <c r="S99" s="18">
        <v>0</v>
      </c>
      <c r="T99" s="18">
        <v>0</v>
      </c>
      <c r="U99" s="18">
        <f t="shared" si="1"/>
        <v>346218</v>
      </c>
      <c r="V99" s="18">
        <f t="shared" si="2"/>
        <v>346218</v>
      </c>
      <c r="W99" s="19">
        <f t="shared" si="3"/>
        <v>0</v>
      </c>
      <c r="X99" s="5" t="s">
        <v>1007</v>
      </c>
      <c r="Y99" s="5" t="s">
        <v>39</v>
      </c>
      <c r="Z99" s="5" t="s">
        <v>1008</v>
      </c>
    </row>
    <row r="100" spans="1:26" ht="14.4" x14ac:dyDescent="0.3">
      <c r="A100" s="9" t="s">
        <v>26</v>
      </c>
      <c r="B100" s="9" t="s">
        <v>1009</v>
      </c>
      <c r="C100" s="3">
        <v>99</v>
      </c>
      <c r="D100" s="4" t="s">
        <v>1010</v>
      </c>
      <c r="E100" s="9" t="s">
        <v>1011</v>
      </c>
      <c r="F100" s="4" t="s">
        <v>1012</v>
      </c>
      <c r="G100" s="11" t="s">
        <v>31</v>
      </c>
      <c r="H100" s="11" t="s">
        <v>1013</v>
      </c>
      <c r="I100" s="11" t="s">
        <v>1014</v>
      </c>
      <c r="J100" s="12">
        <v>80700</v>
      </c>
      <c r="K100" s="11" t="s">
        <v>1015</v>
      </c>
      <c r="L100" s="11" t="s">
        <v>31</v>
      </c>
      <c r="M100" s="11" t="s">
        <v>31</v>
      </c>
      <c r="N100" s="12">
        <v>0</v>
      </c>
      <c r="O100" s="11" t="s">
        <v>31</v>
      </c>
      <c r="P100" s="12">
        <v>0</v>
      </c>
      <c r="Q100" s="15">
        <v>0</v>
      </c>
      <c r="R100" s="15">
        <f t="shared" si="0"/>
        <v>0</v>
      </c>
      <c r="S100" s="15">
        <v>0</v>
      </c>
      <c r="T100" s="15">
        <v>0</v>
      </c>
      <c r="U100" s="15">
        <f t="shared" si="1"/>
        <v>80700</v>
      </c>
      <c r="V100" s="15">
        <f t="shared" si="2"/>
        <v>80700</v>
      </c>
      <c r="W100" s="16">
        <f t="shared" si="3"/>
        <v>0</v>
      </c>
      <c r="X100" s="11" t="s">
        <v>1016</v>
      </c>
      <c r="Y100" s="11" t="s">
        <v>39</v>
      </c>
      <c r="Z100" s="11" t="s">
        <v>1017</v>
      </c>
    </row>
    <row r="101" spans="1:26" ht="14.4" x14ac:dyDescent="0.3">
      <c r="A101" s="21" t="s">
        <v>26</v>
      </c>
      <c r="B101" s="21" t="s">
        <v>1018</v>
      </c>
      <c r="C101" s="22">
        <v>100</v>
      </c>
      <c r="D101" s="23" t="s">
        <v>1019</v>
      </c>
      <c r="E101" s="21" t="s">
        <v>1020</v>
      </c>
      <c r="F101" s="21" t="s">
        <v>1021</v>
      </c>
      <c r="G101" s="24" t="s">
        <v>31</v>
      </c>
      <c r="H101" s="24" t="s">
        <v>1022</v>
      </c>
      <c r="I101" s="24" t="s">
        <v>1023</v>
      </c>
      <c r="J101" s="25">
        <v>268059</v>
      </c>
      <c r="K101" s="24" t="s">
        <v>1024</v>
      </c>
      <c r="L101" s="24" t="s">
        <v>1025</v>
      </c>
      <c r="M101" s="24" t="s">
        <v>1026</v>
      </c>
      <c r="N101" s="25">
        <v>4576</v>
      </c>
      <c r="O101" s="24" t="s">
        <v>1027</v>
      </c>
      <c r="P101" s="25">
        <v>0</v>
      </c>
      <c r="Q101" s="26">
        <v>0</v>
      </c>
      <c r="R101" s="26">
        <f t="shared" si="0"/>
        <v>0</v>
      </c>
      <c r="S101" s="26">
        <v>0</v>
      </c>
      <c r="T101" s="26">
        <v>0</v>
      </c>
      <c r="U101" s="26">
        <f t="shared" si="1"/>
        <v>272635</v>
      </c>
      <c r="V101" s="26">
        <f t="shared" si="2"/>
        <v>272635</v>
      </c>
      <c r="W101" s="27">
        <f t="shared" si="3"/>
        <v>0</v>
      </c>
      <c r="X101" s="24" t="s">
        <v>1028</v>
      </c>
      <c r="Y101" s="24" t="s">
        <v>39</v>
      </c>
      <c r="Z101" s="24" t="s">
        <v>1029</v>
      </c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1"/>
  <sheetViews>
    <sheetView workbookViewId="0"/>
  </sheetViews>
  <sheetFormatPr baseColWidth="10" defaultColWidth="12.6640625" defaultRowHeight="15.75" customHeight="1" x14ac:dyDescent="0.25"/>
  <sheetData>
    <row r="1" spans="1:23" ht="15.75" customHeight="1" x14ac:dyDescent="0.3">
      <c r="A1" s="1" t="s">
        <v>2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spans="1:23" ht="15.75" customHeight="1" x14ac:dyDescent="0.3">
      <c r="A2" s="3">
        <v>1</v>
      </c>
      <c r="B2" s="4" t="s">
        <v>28</v>
      </c>
      <c r="C2" s="4" t="s">
        <v>30</v>
      </c>
      <c r="D2" s="5" t="s">
        <v>31</v>
      </c>
      <c r="E2" s="5" t="s">
        <v>1030</v>
      </c>
      <c r="F2" s="5" t="s">
        <v>1031</v>
      </c>
      <c r="G2" s="6">
        <v>1004909</v>
      </c>
      <c r="H2" s="5" t="s">
        <v>1032</v>
      </c>
      <c r="I2" s="5" t="s">
        <v>1033</v>
      </c>
      <c r="J2" s="5" t="s">
        <v>1034</v>
      </c>
      <c r="K2" s="6">
        <v>5882</v>
      </c>
      <c r="L2" s="5" t="s">
        <v>1035</v>
      </c>
      <c r="M2" s="6">
        <v>0</v>
      </c>
      <c r="N2" s="7">
        <v>15382906</v>
      </c>
      <c r="O2" s="7">
        <f t="shared" ref="O2:O101" si="0">SUM(N2/27)</f>
        <v>569737.25925925921</v>
      </c>
      <c r="P2" s="7">
        <v>803</v>
      </c>
      <c r="Q2" s="7">
        <v>14</v>
      </c>
      <c r="R2" s="7">
        <f t="shared" ref="R2:R101" si="1">SUM(G2,K2,M2)</f>
        <v>1010791</v>
      </c>
      <c r="S2" s="7">
        <f t="shared" ref="S2:S101" si="2">SUM(O2,R2)</f>
        <v>1580528.2592592593</v>
      </c>
      <c r="T2" s="8">
        <f t="shared" ref="T2:T101" si="3">SUM(O2/S2)</f>
        <v>0.36047268115678993</v>
      </c>
      <c r="U2" s="5" t="s">
        <v>1036</v>
      </c>
      <c r="V2" s="5" t="s">
        <v>1037</v>
      </c>
      <c r="W2" s="5" t="s">
        <v>40</v>
      </c>
    </row>
    <row r="3" spans="1:23" ht="15.75" customHeight="1" x14ac:dyDescent="0.3">
      <c r="A3" s="10">
        <v>2</v>
      </c>
      <c r="B3" s="4" t="s">
        <v>51</v>
      </c>
      <c r="C3" s="9" t="s">
        <v>53</v>
      </c>
      <c r="D3" s="11" t="s">
        <v>31</v>
      </c>
      <c r="E3" s="11" t="s">
        <v>1038</v>
      </c>
      <c r="F3" s="11" t="s">
        <v>1039</v>
      </c>
      <c r="G3" s="12">
        <v>893397</v>
      </c>
      <c r="H3" s="11" t="s">
        <v>1040</v>
      </c>
      <c r="I3" s="11" t="s">
        <v>1041</v>
      </c>
      <c r="J3" s="11" t="s">
        <v>1042</v>
      </c>
      <c r="K3" s="12">
        <v>8630</v>
      </c>
      <c r="L3" s="11" t="s">
        <v>1043</v>
      </c>
      <c r="M3" s="12">
        <v>0</v>
      </c>
      <c r="N3" s="13">
        <v>14780664</v>
      </c>
      <c r="O3" s="13">
        <f t="shared" si="0"/>
        <v>547432</v>
      </c>
      <c r="P3" s="13">
        <v>673</v>
      </c>
      <c r="Q3" s="13">
        <v>16</v>
      </c>
      <c r="R3" s="13">
        <f t="shared" si="1"/>
        <v>902027</v>
      </c>
      <c r="S3" s="13">
        <f t="shared" si="2"/>
        <v>1449459</v>
      </c>
      <c r="T3" s="14">
        <f t="shared" si="3"/>
        <v>0.37768022413879937</v>
      </c>
      <c r="U3" s="11" t="s">
        <v>1044</v>
      </c>
      <c r="V3" s="11" t="s">
        <v>1037</v>
      </c>
      <c r="W3" s="11" t="s">
        <v>61</v>
      </c>
    </row>
    <row r="4" spans="1:23" ht="15.75" customHeight="1" x14ac:dyDescent="0.3">
      <c r="A4" s="3">
        <v>3</v>
      </c>
      <c r="B4" s="4" t="s">
        <v>63</v>
      </c>
      <c r="C4" s="2" t="s">
        <v>65</v>
      </c>
      <c r="D4" s="5" t="s">
        <v>31</v>
      </c>
      <c r="E4" s="5" t="s">
        <v>1045</v>
      </c>
      <c r="F4" s="5" t="s">
        <v>1046</v>
      </c>
      <c r="G4" s="6">
        <v>643539</v>
      </c>
      <c r="H4" s="5" t="s">
        <v>1047</v>
      </c>
      <c r="I4" s="5" t="s">
        <v>31</v>
      </c>
      <c r="J4" s="5" t="s">
        <v>31</v>
      </c>
      <c r="K4" s="6">
        <v>0</v>
      </c>
      <c r="L4" s="5" t="s">
        <v>31</v>
      </c>
      <c r="M4" s="6">
        <v>0</v>
      </c>
      <c r="N4" s="7">
        <v>21202195</v>
      </c>
      <c r="O4" s="7">
        <f t="shared" si="0"/>
        <v>785266.48148148146</v>
      </c>
      <c r="P4" s="7">
        <v>1062</v>
      </c>
      <c r="Q4" s="7">
        <v>6</v>
      </c>
      <c r="R4" s="7">
        <f t="shared" si="1"/>
        <v>643539</v>
      </c>
      <c r="S4" s="7">
        <f t="shared" si="2"/>
        <v>1428805.4814814813</v>
      </c>
      <c r="T4" s="8">
        <f t="shared" si="3"/>
        <v>0.54959649277609468</v>
      </c>
      <c r="U4" s="5" t="s">
        <v>1048</v>
      </c>
      <c r="V4" s="5" t="s">
        <v>1037</v>
      </c>
      <c r="W4" s="5" t="s">
        <v>70</v>
      </c>
    </row>
    <row r="5" spans="1:23" ht="15.75" customHeight="1" x14ac:dyDescent="0.3">
      <c r="A5" s="10">
        <v>4</v>
      </c>
      <c r="B5" s="4" t="s">
        <v>42</v>
      </c>
      <c r="C5" s="9" t="s">
        <v>44</v>
      </c>
      <c r="D5" s="11" t="s">
        <v>31</v>
      </c>
      <c r="E5" s="11" t="s">
        <v>1049</v>
      </c>
      <c r="F5" s="11" t="s">
        <v>1050</v>
      </c>
      <c r="G5" s="12">
        <v>1114223</v>
      </c>
      <c r="H5" s="11" t="s">
        <v>1051</v>
      </c>
      <c r="I5" s="11" t="s">
        <v>31</v>
      </c>
      <c r="J5" s="11" t="s">
        <v>31</v>
      </c>
      <c r="K5" s="12">
        <v>0</v>
      </c>
      <c r="L5" s="11" t="s">
        <v>31</v>
      </c>
      <c r="M5" s="12">
        <v>0</v>
      </c>
      <c r="N5" s="13">
        <v>5835252</v>
      </c>
      <c r="O5" s="13">
        <f t="shared" si="0"/>
        <v>216120.44444444444</v>
      </c>
      <c r="P5" s="13">
        <v>345</v>
      </c>
      <c r="Q5" s="13">
        <v>43</v>
      </c>
      <c r="R5" s="13">
        <f t="shared" si="1"/>
        <v>1114223</v>
      </c>
      <c r="S5" s="13">
        <f t="shared" si="2"/>
        <v>1330343.4444444445</v>
      </c>
      <c r="T5" s="14">
        <f t="shared" si="3"/>
        <v>0.16245462429041924</v>
      </c>
      <c r="U5" s="11" t="s">
        <v>1052</v>
      </c>
      <c r="V5" s="11" t="s">
        <v>1037</v>
      </c>
      <c r="W5" s="11" t="s">
        <v>49</v>
      </c>
    </row>
    <row r="6" spans="1:23" ht="15.75" customHeight="1" x14ac:dyDescent="0.3">
      <c r="A6" s="3">
        <v>5</v>
      </c>
      <c r="B6" s="4" t="s">
        <v>72</v>
      </c>
      <c r="C6" s="4" t="s">
        <v>74</v>
      </c>
      <c r="D6" s="5" t="s">
        <v>31</v>
      </c>
      <c r="E6" s="5" t="s">
        <v>1053</v>
      </c>
      <c r="F6" s="5" t="s">
        <v>1054</v>
      </c>
      <c r="G6" s="6">
        <v>679834</v>
      </c>
      <c r="H6" s="5" t="s">
        <v>1055</v>
      </c>
      <c r="I6" s="5" t="s">
        <v>1056</v>
      </c>
      <c r="J6" s="5" t="s">
        <v>1057</v>
      </c>
      <c r="K6" s="6">
        <v>14135</v>
      </c>
      <c r="L6" s="5" t="s">
        <v>1058</v>
      </c>
      <c r="M6" s="6">
        <v>0</v>
      </c>
      <c r="N6" s="7">
        <v>16796831</v>
      </c>
      <c r="O6" s="7">
        <f t="shared" si="0"/>
        <v>622104.8518518518</v>
      </c>
      <c r="P6" s="7">
        <v>751</v>
      </c>
      <c r="Q6" s="7">
        <v>13</v>
      </c>
      <c r="R6" s="7">
        <f t="shared" si="1"/>
        <v>693969</v>
      </c>
      <c r="S6" s="7">
        <f t="shared" si="2"/>
        <v>1316073.8518518517</v>
      </c>
      <c r="T6" s="8">
        <f t="shared" si="3"/>
        <v>0.47269752451694569</v>
      </c>
      <c r="U6" s="5" t="s">
        <v>1059</v>
      </c>
      <c r="V6" s="5" t="s">
        <v>1037</v>
      </c>
      <c r="W6" s="5" t="s">
        <v>82</v>
      </c>
    </row>
    <row r="7" spans="1:23" ht="15.75" customHeight="1" x14ac:dyDescent="0.3">
      <c r="A7" s="10">
        <v>6</v>
      </c>
      <c r="B7" s="4" t="s">
        <v>84</v>
      </c>
      <c r="C7" s="9" t="s">
        <v>86</v>
      </c>
      <c r="D7" s="11" t="s">
        <v>31</v>
      </c>
      <c r="E7" s="11" t="s">
        <v>1060</v>
      </c>
      <c r="F7" s="11" t="s">
        <v>1061</v>
      </c>
      <c r="G7" s="12">
        <v>684691</v>
      </c>
      <c r="H7" s="11" t="s">
        <v>1062</v>
      </c>
      <c r="I7" s="11" t="s">
        <v>1063</v>
      </c>
      <c r="J7" s="11" t="s">
        <v>1064</v>
      </c>
      <c r="K7" s="12">
        <v>19767</v>
      </c>
      <c r="L7" s="11" t="s">
        <v>1065</v>
      </c>
      <c r="M7" s="12">
        <v>0</v>
      </c>
      <c r="N7" s="13">
        <v>13866625</v>
      </c>
      <c r="O7" s="13">
        <f t="shared" si="0"/>
        <v>513578.70370370371</v>
      </c>
      <c r="P7" s="13">
        <v>830</v>
      </c>
      <c r="Q7" s="13">
        <v>18</v>
      </c>
      <c r="R7" s="13">
        <f t="shared" si="1"/>
        <v>704458</v>
      </c>
      <c r="S7" s="13">
        <f t="shared" si="2"/>
        <v>1218036.7037037038</v>
      </c>
      <c r="T7" s="14">
        <f t="shared" si="3"/>
        <v>0.42164468619217849</v>
      </c>
      <c r="U7" s="11" t="s">
        <v>1066</v>
      </c>
      <c r="V7" s="11" t="s">
        <v>1037</v>
      </c>
      <c r="W7" s="11" t="s">
        <v>94</v>
      </c>
    </row>
    <row r="8" spans="1:23" ht="15.75" customHeight="1" x14ac:dyDescent="0.3">
      <c r="A8" s="3">
        <v>7</v>
      </c>
      <c r="B8" s="4" t="s">
        <v>136</v>
      </c>
      <c r="C8" s="2" t="s">
        <v>138</v>
      </c>
      <c r="D8" s="5" t="s">
        <v>31</v>
      </c>
      <c r="E8" s="5" t="s">
        <v>1067</v>
      </c>
      <c r="F8" s="5" t="s">
        <v>1068</v>
      </c>
      <c r="G8" s="6">
        <v>671264</v>
      </c>
      <c r="H8" s="5" t="s">
        <v>1069</v>
      </c>
      <c r="I8" s="5" t="s">
        <v>1070</v>
      </c>
      <c r="J8" s="5" t="s">
        <v>1071</v>
      </c>
      <c r="K8" s="6">
        <v>7864</v>
      </c>
      <c r="L8" s="5" t="s">
        <v>1072</v>
      </c>
      <c r="M8" s="6">
        <v>0</v>
      </c>
      <c r="N8" s="7">
        <v>14193715</v>
      </c>
      <c r="O8" s="7">
        <f t="shared" si="0"/>
        <v>525693.1481481482</v>
      </c>
      <c r="P8" s="7">
        <v>705</v>
      </c>
      <c r="Q8" s="7">
        <v>17</v>
      </c>
      <c r="R8" s="7">
        <f t="shared" si="1"/>
        <v>679128</v>
      </c>
      <c r="S8" s="7">
        <f t="shared" si="2"/>
        <v>1204821.1481481483</v>
      </c>
      <c r="T8" s="8">
        <f t="shared" si="3"/>
        <v>0.43632463536696442</v>
      </c>
      <c r="U8" s="5" t="s">
        <v>1073</v>
      </c>
      <c r="V8" s="5" t="s">
        <v>1037</v>
      </c>
      <c r="W8" s="5" t="s">
        <v>146</v>
      </c>
    </row>
    <row r="9" spans="1:23" ht="15.75" customHeight="1" x14ac:dyDescent="0.3">
      <c r="A9" s="10">
        <v>8</v>
      </c>
      <c r="B9" s="4" t="s">
        <v>104</v>
      </c>
      <c r="C9" s="4" t="s">
        <v>106</v>
      </c>
      <c r="D9" s="11" t="s">
        <v>31</v>
      </c>
      <c r="E9" s="11" t="s">
        <v>1074</v>
      </c>
      <c r="F9" s="11" t="s">
        <v>1075</v>
      </c>
      <c r="G9" s="12">
        <v>408009</v>
      </c>
      <c r="H9" s="11" t="s">
        <v>1076</v>
      </c>
      <c r="I9" s="11" t="s">
        <v>1077</v>
      </c>
      <c r="J9" s="11" t="s">
        <v>1078</v>
      </c>
      <c r="K9" s="12">
        <v>26916</v>
      </c>
      <c r="L9" s="11" t="s">
        <v>1079</v>
      </c>
      <c r="M9" s="12">
        <v>0</v>
      </c>
      <c r="N9" s="13">
        <v>18379440</v>
      </c>
      <c r="O9" s="13">
        <f t="shared" si="0"/>
        <v>680720</v>
      </c>
      <c r="P9" s="13">
        <v>805</v>
      </c>
      <c r="Q9" s="13">
        <v>10</v>
      </c>
      <c r="R9" s="13">
        <f t="shared" si="1"/>
        <v>434925</v>
      </c>
      <c r="S9" s="13">
        <f t="shared" si="2"/>
        <v>1115645</v>
      </c>
      <c r="T9" s="14">
        <f t="shared" si="3"/>
        <v>0.61015824926387874</v>
      </c>
      <c r="U9" s="11" t="s">
        <v>1080</v>
      </c>
      <c r="V9" s="11" t="s">
        <v>1037</v>
      </c>
      <c r="W9" s="11" t="s">
        <v>114</v>
      </c>
    </row>
    <row r="10" spans="1:23" ht="15.75" customHeight="1" x14ac:dyDescent="0.3">
      <c r="A10" s="3">
        <v>9</v>
      </c>
      <c r="B10" s="4" t="s">
        <v>116</v>
      </c>
      <c r="C10" s="2" t="s">
        <v>118</v>
      </c>
      <c r="D10" s="5" t="s">
        <v>31</v>
      </c>
      <c r="E10" s="5" t="s">
        <v>1081</v>
      </c>
      <c r="F10" s="5" t="s">
        <v>1082</v>
      </c>
      <c r="G10" s="6">
        <v>764818</v>
      </c>
      <c r="H10" s="5" t="s">
        <v>1083</v>
      </c>
      <c r="I10" s="5" t="s">
        <v>1084</v>
      </c>
      <c r="J10" s="5" t="s">
        <v>1085</v>
      </c>
      <c r="K10" s="6">
        <v>15440</v>
      </c>
      <c r="L10" s="5" t="s">
        <v>1086</v>
      </c>
      <c r="M10" s="6">
        <v>0</v>
      </c>
      <c r="N10" s="7">
        <v>7316748</v>
      </c>
      <c r="O10" s="7">
        <f t="shared" si="0"/>
        <v>270990.66666666669</v>
      </c>
      <c r="P10" s="7">
        <v>466</v>
      </c>
      <c r="Q10" s="7">
        <v>34</v>
      </c>
      <c r="R10" s="7">
        <f t="shared" si="1"/>
        <v>780258</v>
      </c>
      <c r="S10" s="7">
        <f t="shared" si="2"/>
        <v>1051248.6666666667</v>
      </c>
      <c r="T10" s="8">
        <f t="shared" si="3"/>
        <v>0.25777979583644339</v>
      </c>
      <c r="U10" s="5" t="s">
        <v>1087</v>
      </c>
      <c r="V10" s="5" t="s">
        <v>1037</v>
      </c>
      <c r="W10" s="5" t="s">
        <v>126</v>
      </c>
    </row>
    <row r="11" spans="1:23" ht="15.75" customHeight="1" x14ac:dyDescent="0.3">
      <c r="A11" s="10">
        <v>10</v>
      </c>
      <c r="B11" s="4" t="s">
        <v>96</v>
      </c>
      <c r="C11" s="4" t="s">
        <v>98</v>
      </c>
      <c r="D11" s="11" t="s">
        <v>31</v>
      </c>
      <c r="E11" s="11" t="s">
        <v>1088</v>
      </c>
      <c r="F11" s="11" t="s">
        <v>1089</v>
      </c>
      <c r="G11" s="12">
        <v>794803</v>
      </c>
      <c r="H11" s="11" t="s">
        <v>1090</v>
      </c>
      <c r="I11" s="11" t="s">
        <v>31</v>
      </c>
      <c r="J11" s="11" t="s">
        <v>31</v>
      </c>
      <c r="K11" s="12">
        <v>0</v>
      </c>
      <c r="L11" s="11" t="s">
        <v>31</v>
      </c>
      <c r="M11" s="12">
        <v>0</v>
      </c>
      <c r="N11" s="13">
        <v>6561268</v>
      </c>
      <c r="O11" s="13">
        <f t="shared" si="0"/>
        <v>243009.92592592593</v>
      </c>
      <c r="P11" s="13">
        <v>373</v>
      </c>
      <c r="Q11" s="13">
        <v>39</v>
      </c>
      <c r="R11" s="13">
        <f t="shared" si="1"/>
        <v>794803</v>
      </c>
      <c r="S11" s="13">
        <f t="shared" si="2"/>
        <v>1037812.925925926</v>
      </c>
      <c r="T11" s="14">
        <f t="shared" si="3"/>
        <v>0.2341558096408512</v>
      </c>
      <c r="U11" s="11" t="s">
        <v>1091</v>
      </c>
      <c r="V11" s="11" t="s">
        <v>1037</v>
      </c>
      <c r="W11" s="11"/>
    </row>
    <row r="12" spans="1:23" ht="15.75" customHeight="1" x14ac:dyDescent="0.3">
      <c r="A12" s="3">
        <v>11</v>
      </c>
      <c r="B12" s="4" t="s">
        <v>169</v>
      </c>
      <c r="C12" s="4" t="s">
        <v>170</v>
      </c>
      <c r="D12" s="5" t="s">
        <v>31</v>
      </c>
      <c r="E12" s="5" t="s">
        <v>1092</v>
      </c>
      <c r="F12" s="5" t="s">
        <v>1093</v>
      </c>
      <c r="G12" s="6">
        <v>611450</v>
      </c>
      <c r="H12" s="5" t="s">
        <v>1094</v>
      </c>
      <c r="I12" s="5" t="s">
        <v>1095</v>
      </c>
      <c r="J12" s="5" t="s">
        <v>1096</v>
      </c>
      <c r="K12" s="6">
        <v>12801</v>
      </c>
      <c r="L12" s="5" t="s">
        <v>1097</v>
      </c>
      <c r="M12" s="6">
        <v>0</v>
      </c>
      <c r="N12" s="7">
        <v>10416764</v>
      </c>
      <c r="O12" s="7">
        <f t="shared" si="0"/>
        <v>385806.0740740741</v>
      </c>
      <c r="P12" s="7">
        <v>609</v>
      </c>
      <c r="Q12" s="7">
        <v>23</v>
      </c>
      <c r="R12" s="7">
        <f t="shared" si="1"/>
        <v>624251</v>
      </c>
      <c r="S12" s="7">
        <f t="shared" si="2"/>
        <v>1010057.0740740742</v>
      </c>
      <c r="T12" s="8">
        <f t="shared" si="3"/>
        <v>0.38196462752141508</v>
      </c>
      <c r="U12" s="5" t="s">
        <v>1098</v>
      </c>
      <c r="V12" s="5" t="s">
        <v>1037</v>
      </c>
      <c r="W12" s="5"/>
    </row>
    <row r="13" spans="1:23" ht="15.75" customHeight="1" x14ac:dyDescent="0.3">
      <c r="A13" s="10">
        <v>12</v>
      </c>
      <c r="B13" s="4" t="s">
        <v>128</v>
      </c>
      <c r="C13" s="9" t="s">
        <v>130</v>
      </c>
      <c r="D13" s="11" t="s">
        <v>31</v>
      </c>
      <c r="E13" s="11" t="s">
        <v>1099</v>
      </c>
      <c r="F13" s="11" t="s">
        <v>1100</v>
      </c>
      <c r="G13" s="12">
        <v>83449</v>
      </c>
      <c r="H13" s="11" t="s">
        <v>1101</v>
      </c>
      <c r="I13" s="11" t="s">
        <v>31</v>
      </c>
      <c r="J13" s="11" t="s">
        <v>31</v>
      </c>
      <c r="K13" s="12">
        <v>0</v>
      </c>
      <c r="L13" s="11" t="s">
        <v>31</v>
      </c>
      <c r="M13" s="12">
        <v>0</v>
      </c>
      <c r="N13" s="28">
        <f>IFERROR(VLOOKUP(C13,'[1]Colombia Radio'!$C$2:$E$97118,2,0),0)</f>
        <v>0</v>
      </c>
      <c r="O13" s="28">
        <f t="shared" si="0"/>
        <v>0</v>
      </c>
      <c r="P13" s="28">
        <f>IFERROR(VLOOKUP(C13,'[1]Colombia Radio'!$C$2:$E$69000,3,0),0)</f>
        <v>0</v>
      </c>
      <c r="Q13" s="28">
        <f>IFERROR(VLOOKUP(C13,'[1]Colombia Radio'!$C$2:$F$69000,4,0),0)</f>
        <v>0</v>
      </c>
      <c r="R13" s="28">
        <f t="shared" si="1"/>
        <v>83449</v>
      </c>
      <c r="S13" s="28">
        <f t="shared" si="2"/>
        <v>83449</v>
      </c>
      <c r="T13" s="29">
        <f t="shared" si="3"/>
        <v>0</v>
      </c>
      <c r="U13" s="11" t="s">
        <v>1102</v>
      </c>
      <c r="V13" s="11" t="s">
        <v>1037</v>
      </c>
      <c r="W13" s="11"/>
    </row>
    <row r="14" spans="1:23" ht="15.75" customHeight="1" x14ac:dyDescent="0.3">
      <c r="A14" s="3">
        <v>13</v>
      </c>
      <c r="B14" s="4" t="s">
        <v>160</v>
      </c>
      <c r="C14" s="9" t="s">
        <v>162</v>
      </c>
      <c r="D14" s="11" t="s">
        <v>31</v>
      </c>
      <c r="E14" s="11" t="s">
        <v>1103</v>
      </c>
      <c r="F14" s="11" t="s">
        <v>1104</v>
      </c>
      <c r="G14" s="12">
        <v>500456</v>
      </c>
      <c r="H14" s="11" t="s">
        <v>1105</v>
      </c>
      <c r="I14" s="11" t="s">
        <v>31</v>
      </c>
      <c r="J14" s="11" t="s">
        <v>31</v>
      </c>
      <c r="K14" s="12">
        <v>0</v>
      </c>
      <c r="L14" s="11" t="s">
        <v>31</v>
      </c>
      <c r="M14" s="12">
        <v>0</v>
      </c>
      <c r="N14" s="13">
        <v>12679425</v>
      </c>
      <c r="O14" s="13">
        <f t="shared" si="0"/>
        <v>469608.33333333331</v>
      </c>
      <c r="P14" s="13">
        <v>679</v>
      </c>
      <c r="Q14" s="13">
        <v>20</v>
      </c>
      <c r="R14" s="13">
        <f t="shared" si="1"/>
        <v>500456</v>
      </c>
      <c r="S14" s="13">
        <f t="shared" si="2"/>
        <v>970064.33333333326</v>
      </c>
      <c r="T14" s="14">
        <f t="shared" si="3"/>
        <v>0.48410019541659266</v>
      </c>
      <c r="U14" s="11" t="s">
        <v>1106</v>
      </c>
      <c r="V14" s="11" t="s">
        <v>1037</v>
      </c>
      <c r="W14" s="11" t="s">
        <v>167</v>
      </c>
    </row>
    <row r="15" spans="1:23" ht="15.75" customHeight="1" x14ac:dyDescent="0.3">
      <c r="A15" s="10">
        <v>14</v>
      </c>
      <c r="B15" s="4" t="s">
        <v>148</v>
      </c>
      <c r="C15" s="2" t="s">
        <v>150</v>
      </c>
      <c r="D15" s="5" t="s">
        <v>31</v>
      </c>
      <c r="E15" s="5" t="s">
        <v>1107</v>
      </c>
      <c r="F15" s="5" t="s">
        <v>1108</v>
      </c>
      <c r="G15" s="6">
        <v>374405</v>
      </c>
      <c r="H15" s="5" t="s">
        <v>1109</v>
      </c>
      <c r="I15" s="5" t="s">
        <v>1110</v>
      </c>
      <c r="J15" s="5" t="s">
        <v>1111</v>
      </c>
      <c r="K15" s="6">
        <v>7498</v>
      </c>
      <c r="L15" s="5" t="s">
        <v>1112</v>
      </c>
      <c r="M15" s="6">
        <v>0</v>
      </c>
      <c r="N15" s="7">
        <v>15010192</v>
      </c>
      <c r="O15" s="7">
        <f t="shared" si="0"/>
        <v>555933.03703703708</v>
      </c>
      <c r="P15" s="7">
        <v>912</v>
      </c>
      <c r="Q15" s="7">
        <v>15</v>
      </c>
      <c r="R15" s="7">
        <f t="shared" si="1"/>
        <v>381903</v>
      </c>
      <c r="S15" s="7">
        <f t="shared" si="2"/>
        <v>937836.03703703708</v>
      </c>
      <c r="T15" s="8">
        <f t="shared" si="3"/>
        <v>0.59278276274542663</v>
      </c>
      <c r="U15" s="5" t="s">
        <v>1113</v>
      </c>
      <c r="V15" s="5" t="s">
        <v>1037</v>
      </c>
      <c r="W15" s="5" t="s">
        <v>158</v>
      </c>
    </row>
    <row r="16" spans="1:23" ht="15.75" customHeight="1" x14ac:dyDescent="0.3">
      <c r="A16" s="3">
        <v>15</v>
      </c>
      <c r="B16" s="4" t="s">
        <v>179</v>
      </c>
      <c r="C16" s="2" t="s">
        <v>181</v>
      </c>
      <c r="D16" s="5" t="s">
        <v>31</v>
      </c>
      <c r="E16" s="5" t="s">
        <v>1114</v>
      </c>
      <c r="F16" s="5" t="s">
        <v>1115</v>
      </c>
      <c r="G16" s="6">
        <v>179768</v>
      </c>
      <c r="H16" s="5" t="s">
        <v>1116</v>
      </c>
      <c r="I16" s="5" t="s">
        <v>1117</v>
      </c>
      <c r="J16" s="5" t="s">
        <v>1118</v>
      </c>
      <c r="K16" s="6">
        <v>6748</v>
      </c>
      <c r="L16" s="5" t="s">
        <v>1119</v>
      </c>
      <c r="M16" s="6">
        <v>0</v>
      </c>
      <c r="N16" s="28">
        <f>IFERROR(VLOOKUP(C16,'[1]Colombia Radio'!$C$2:$E$97118,2,0),0)</f>
        <v>0</v>
      </c>
      <c r="O16" s="28">
        <f t="shared" si="0"/>
        <v>0</v>
      </c>
      <c r="P16" s="28">
        <f>IFERROR(VLOOKUP(C16,'[1]Colombia Radio'!$C$2:$E$69000,3,0),0)</f>
        <v>0</v>
      </c>
      <c r="Q16" s="28">
        <f>IFERROR(VLOOKUP(C16,'[1]Colombia Radio'!$C$2:$F$69000,4,0),0)</f>
        <v>0</v>
      </c>
      <c r="R16" s="28">
        <f t="shared" si="1"/>
        <v>186516</v>
      </c>
      <c r="S16" s="28">
        <f t="shared" si="2"/>
        <v>186516</v>
      </c>
      <c r="T16" s="29">
        <f t="shared" si="3"/>
        <v>0</v>
      </c>
      <c r="U16" s="5" t="s">
        <v>1120</v>
      </c>
      <c r="V16" s="5" t="s">
        <v>1037</v>
      </c>
      <c r="W16" s="5"/>
    </row>
    <row r="17" spans="1:23" ht="15.75" customHeight="1" x14ac:dyDescent="0.3">
      <c r="A17" s="10">
        <v>16</v>
      </c>
      <c r="B17" s="4" t="s">
        <v>199</v>
      </c>
      <c r="C17" s="4" t="s">
        <v>201</v>
      </c>
      <c r="D17" s="11" t="s">
        <v>31</v>
      </c>
      <c r="E17" s="11" t="s">
        <v>1121</v>
      </c>
      <c r="F17" s="11" t="s">
        <v>1122</v>
      </c>
      <c r="G17" s="12">
        <v>786906</v>
      </c>
      <c r="H17" s="11" t="s">
        <v>1123</v>
      </c>
      <c r="I17" s="11" t="s">
        <v>31</v>
      </c>
      <c r="J17" s="11" t="s">
        <v>31</v>
      </c>
      <c r="K17" s="12">
        <v>0</v>
      </c>
      <c r="L17" s="11" t="s">
        <v>31</v>
      </c>
      <c r="M17" s="12">
        <v>0</v>
      </c>
      <c r="N17" s="13">
        <v>1372621</v>
      </c>
      <c r="O17" s="13">
        <f t="shared" si="0"/>
        <v>50837.814814814818</v>
      </c>
      <c r="P17" s="13">
        <v>56</v>
      </c>
      <c r="Q17" s="13">
        <v>420</v>
      </c>
      <c r="R17" s="13">
        <f t="shared" si="1"/>
        <v>786906</v>
      </c>
      <c r="S17" s="13">
        <f t="shared" si="2"/>
        <v>837743.81481481483</v>
      </c>
      <c r="T17" s="14">
        <f t="shared" si="3"/>
        <v>6.0684201919237839E-2</v>
      </c>
      <c r="U17" s="11" t="s">
        <v>1124</v>
      </c>
      <c r="V17" s="11" t="s">
        <v>1037</v>
      </c>
      <c r="W17" s="11" t="s">
        <v>206</v>
      </c>
    </row>
    <row r="18" spans="1:23" ht="15.75" customHeight="1" x14ac:dyDescent="0.3">
      <c r="A18" s="3">
        <v>17</v>
      </c>
      <c r="B18" s="4" t="s">
        <v>190</v>
      </c>
      <c r="C18" s="2" t="s">
        <v>192</v>
      </c>
      <c r="D18" s="5" t="s">
        <v>31</v>
      </c>
      <c r="E18" s="5" t="s">
        <v>1125</v>
      </c>
      <c r="F18" s="5" t="s">
        <v>1126</v>
      </c>
      <c r="G18" s="6">
        <v>547665</v>
      </c>
      <c r="H18" s="5" t="s">
        <v>1127</v>
      </c>
      <c r="I18" s="5" t="s">
        <v>31</v>
      </c>
      <c r="J18" s="5" t="s">
        <v>31</v>
      </c>
      <c r="K18" s="6">
        <v>0</v>
      </c>
      <c r="L18" s="5" t="s">
        <v>31</v>
      </c>
      <c r="M18" s="6">
        <v>0</v>
      </c>
      <c r="N18" s="7">
        <v>7576679</v>
      </c>
      <c r="O18" s="7">
        <f t="shared" si="0"/>
        <v>280617.74074074073</v>
      </c>
      <c r="P18" s="7">
        <v>334</v>
      </c>
      <c r="Q18" s="7">
        <v>32</v>
      </c>
      <c r="R18" s="7">
        <f t="shared" si="1"/>
        <v>547665</v>
      </c>
      <c r="S18" s="7">
        <f t="shared" si="2"/>
        <v>828282.74074074067</v>
      </c>
      <c r="T18" s="8">
        <f t="shared" si="3"/>
        <v>0.33879462523845633</v>
      </c>
      <c r="U18" s="5" t="s">
        <v>1128</v>
      </c>
      <c r="V18" s="5" t="s">
        <v>1037</v>
      </c>
      <c r="W18" s="5" t="s">
        <v>197</v>
      </c>
    </row>
    <row r="19" spans="1:23" ht="15.75" customHeight="1" x14ac:dyDescent="0.3">
      <c r="A19" s="10">
        <v>18</v>
      </c>
      <c r="B19" s="4" t="s">
        <v>247</v>
      </c>
      <c r="C19" s="9" t="s">
        <v>249</v>
      </c>
      <c r="D19" s="11" t="s">
        <v>31</v>
      </c>
      <c r="E19" s="11" t="s">
        <v>1129</v>
      </c>
      <c r="F19" s="11" t="s">
        <v>1130</v>
      </c>
      <c r="G19" s="12">
        <v>85663</v>
      </c>
      <c r="H19" s="11" t="s">
        <v>1131</v>
      </c>
      <c r="I19" s="11" t="s">
        <v>1132</v>
      </c>
      <c r="J19" s="11" t="s">
        <v>1133</v>
      </c>
      <c r="K19" s="12">
        <v>1991</v>
      </c>
      <c r="L19" s="11" t="s">
        <v>1134</v>
      </c>
      <c r="M19" s="12">
        <v>0</v>
      </c>
      <c r="N19" s="28">
        <f>IFERROR(VLOOKUP(C19,'[1]Colombia Radio'!$C$2:$E$97118,2,0),0)</f>
        <v>0</v>
      </c>
      <c r="O19" s="28">
        <f t="shared" si="0"/>
        <v>0</v>
      </c>
      <c r="P19" s="28">
        <f>IFERROR(VLOOKUP(C19,'[1]Colombia Radio'!$C$2:$E$69000,3,0),0)</f>
        <v>0</v>
      </c>
      <c r="Q19" s="28">
        <f>IFERROR(VLOOKUP(C19,'[1]Colombia Radio'!$C$2:$F$69000,4,0),0)</f>
        <v>0</v>
      </c>
      <c r="R19" s="28">
        <f t="shared" si="1"/>
        <v>87654</v>
      </c>
      <c r="S19" s="28">
        <f t="shared" si="2"/>
        <v>87654</v>
      </c>
      <c r="T19" s="29">
        <f t="shared" si="3"/>
        <v>0</v>
      </c>
      <c r="U19" s="11" t="s">
        <v>1135</v>
      </c>
      <c r="V19" s="11" t="s">
        <v>1037</v>
      </c>
      <c r="W19" s="11"/>
    </row>
    <row r="20" spans="1:23" ht="15.75" customHeight="1" x14ac:dyDescent="0.3">
      <c r="A20" s="3">
        <v>19</v>
      </c>
      <c r="B20" s="4" t="s">
        <v>220</v>
      </c>
      <c r="C20" s="9" t="s">
        <v>222</v>
      </c>
      <c r="D20" s="11" t="s">
        <v>31</v>
      </c>
      <c r="E20" s="11" t="s">
        <v>1136</v>
      </c>
      <c r="F20" s="11" t="s">
        <v>1137</v>
      </c>
      <c r="G20" s="12">
        <v>604850</v>
      </c>
      <c r="H20" s="11" t="s">
        <v>1138</v>
      </c>
      <c r="I20" s="11" t="s">
        <v>1139</v>
      </c>
      <c r="J20" s="11" t="s">
        <v>1140</v>
      </c>
      <c r="K20" s="12">
        <v>12085</v>
      </c>
      <c r="L20" s="11" t="s">
        <v>1141</v>
      </c>
      <c r="M20" s="12">
        <v>0</v>
      </c>
      <c r="N20" s="13">
        <v>4104458</v>
      </c>
      <c r="O20" s="13">
        <f t="shared" si="0"/>
        <v>152016.96296296295</v>
      </c>
      <c r="P20" s="13">
        <v>281</v>
      </c>
      <c r="Q20" s="13">
        <v>65</v>
      </c>
      <c r="R20" s="13">
        <f t="shared" si="1"/>
        <v>616935</v>
      </c>
      <c r="S20" s="13">
        <f t="shared" si="2"/>
        <v>768951.96296296292</v>
      </c>
      <c r="T20" s="14">
        <f t="shared" si="3"/>
        <v>0.19769370556933599</v>
      </c>
      <c r="U20" s="11" t="s">
        <v>1142</v>
      </c>
      <c r="V20" s="11" t="s">
        <v>1037</v>
      </c>
      <c r="W20" s="11" t="s">
        <v>230</v>
      </c>
    </row>
    <row r="21" spans="1:23" ht="15.75" customHeight="1" x14ac:dyDescent="0.3">
      <c r="A21" s="10">
        <v>20</v>
      </c>
      <c r="B21" s="4" t="s">
        <v>208</v>
      </c>
      <c r="C21" s="2" t="s">
        <v>210</v>
      </c>
      <c r="D21" s="5" t="s">
        <v>31</v>
      </c>
      <c r="E21" s="5" t="s">
        <v>1143</v>
      </c>
      <c r="F21" s="5" t="s">
        <v>1144</v>
      </c>
      <c r="G21" s="6">
        <v>418052</v>
      </c>
      <c r="H21" s="5" t="s">
        <v>1145</v>
      </c>
      <c r="I21" s="5" t="s">
        <v>387</v>
      </c>
      <c r="J21" s="5" t="s">
        <v>1146</v>
      </c>
      <c r="K21" s="6">
        <v>8633</v>
      </c>
      <c r="L21" s="5" t="s">
        <v>1147</v>
      </c>
      <c r="M21" s="6">
        <v>0</v>
      </c>
      <c r="N21" s="7">
        <v>9037130</v>
      </c>
      <c r="O21" s="7">
        <f t="shared" si="0"/>
        <v>334708.51851851854</v>
      </c>
      <c r="P21" s="7">
        <v>412</v>
      </c>
      <c r="Q21" s="7">
        <v>28</v>
      </c>
      <c r="R21" s="7">
        <f t="shared" si="1"/>
        <v>426685</v>
      </c>
      <c r="S21" s="7">
        <f t="shared" si="2"/>
        <v>761393.51851851854</v>
      </c>
      <c r="T21" s="8">
        <f t="shared" si="3"/>
        <v>0.43959990514468478</v>
      </c>
      <c r="U21" s="5" t="s">
        <v>1148</v>
      </c>
      <c r="V21" s="5" t="s">
        <v>1037</v>
      </c>
      <c r="W21" s="5" t="s">
        <v>218</v>
      </c>
    </row>
    <row r="22" spans="1:23" ht="15.75" customHeight="1" x14ac:dyDescent="0.3">
      <c r="A22" s="3">
        <v>21</v>
      </c>
      <c r="B22" s="4" t="s">
        <v>240</v>
      </c>
      <c r="C22" s="9" t="s">
        <v>241</v>
      </c>
      <c r="D22" s="11" t="s">
        <v>31</v>
      </c>
      <c r="E22" s="11" t="s">
        <v>1149</v>
      </c>
      <c r="F22" s="11" t="s">
        <v>1150</v>
      </c>
      <c r="G22" s="12">
        <v>665650</v>
      </c>
      <c r="H22" s="11" t="s">
        <v>1151</v>
      </c>
      <c r="I22" s="11" t="s">
        <v>31</v>
      </c>
      <c r="J22" s="11" t="s">
        <v>31</v>
      </c>
      <c r="K22" s="12">
        <v>0</v>
      </c>
      <c r="L22" s="11" t="s">
        <v>31</v>
      </c>
      <c r="M22" s="12">
        <v>0</v>
      </c>
      <c r="N22" s="13">
        <v>1588446</v>
      </c>
      <c r="O22" s="13">
        <f t="shared" si="0"/>
        <v>58831.333333333336</v>
      </c>
      <c r="P22" s="13">
        <v>68</v>
      </c>
      <c r="Q22" s="13">
        <v>307</v>
      </c>
      <c r="R22" s="13">
        <f t="shared" si="1"/>
        <v>665650</v>
      </c>
      <c r="S22" s="13">
        <f t="shared" si="2"/>
        <v>724481.33333333337</v>
      </c>
      <c r="T22" s="14">
        <f t="shared" si="3"/>
        <v>8.1204760739177081E-2</v>
      </c>
      <c r="U22" s="11" t="s">
        <v>1152</v>
      </c>
      <c r="V22" s="11" t="s">
        <v>1037</v>
      </c>
      <c r="W22" s="11"/>
    </row>
    <row r="23" spans="1:23" ht="15.75" customHeight="1" x14ac:dyDescent="0.3">
      <c r="A23" s="10">
        <v>22</v>
      </c>
      <c r="B23" s="30" t="s">
        <v>232</v>
      </c>
      <c r="C23" s="30" t="s">
        <v>233</v>
      </c>
      <c r="D23" s="5" t="s">
        <v>31</v>
      </c>
      <c r="E23" s="5" t="s">
        <v>1153</v>
      </c>
      <c r="F23" s="5" t="s">
        <v>1154</v>
      </c>
      <c r="G23" s="6">
        <v>718704</v>
      </c>
      <c r="H23" s="5" t="s">
        <v>1155</v>
      </c>
      <c r="I23" s="5" t="s">
        <v>31</v>
      </c>
      <c r="J23" s="5" t="s">
        <v>31</v>
      </c>
      <c r="K23" s="6">
        <v>0</v>
      </c>
      <c r="L23" s="5" t="s">
        <v>31</v>
      </c>
      <c r="M23" s="6">
        <v>0</v>
      </c>
      <c r="N23" s="7">
        <v>0</v>
      </c>
      <c r="O23" s="7">
        <f t="shared" si="0"/>
        <v>0</v>
      </c>
      <c r="P23" s="7">
        <v>0</v>
      </c>
      <c r="Q23" s="7">
        <v>0</v>
      </c>
      <c r="R23" s="7">
        <f t="shared" si="1"/>
        <v>718704</v>
      </c>
      <c r="S23" s="7">
        <f t="shared" si="2"/>
        <v>718704</v>
      </c>
      <c r="T23" s="8">
        <f t="shared" si="3"/>
        <v>0</v>
      </c>
      <c r="U23" s="5" t="s">
        <v>1156</v>
      </c>
      <c r="V23" s="5" t="s">
        <v>1037</v>
      </c>
      <c r="W23" s="5" t="s">
        <v>238</v>
      </c>
    </row>
    <row r="24" spans="1:23" ht="15.75" customHeight="1" x14ac:dyDescent="0.3">
      <c r="A24" s="3">
        <v>23</v>
      </c>
      <c r="B24" s="31" t="s">
        <v>258</v>
      </c>
      <c r="C24" s="31" t="s">
        <v>259</v>
      </c>
      <c r="D24" s="5" t="s">
        <v>31</v>
      </c>
      <c r="E24" s="5" t="s">
        <v>1157</v>
      </c>
      <c r="F24" s="5" t="s">
        <v>1158</v>
      </c>
      <c r="G24" s="6">
        <v>501345</v>
      </c>
      <c r="H24" s="5" t="s">
        <v>1159</v>
      </c>
      <c r="I24" s="5" t="s">
        <v>1160</v>
      </c>
      <c r="J24" s="5" t="s">
        <v>1161</v>
      </c>
      <c r="K24" s="6">
        <v>1890</v>
      </c>
      <c r="L24" s="5" t="s">
        <v>1162</v>
      </c>
      <c r="M24" s="6">
        <v>0</v>
      </c>
      <c r="N24" s="28">
        <f>IFERROR(VLOOKUP(C24,'[1]Colombia Radio'!$C$2:$E$97118,2,0),0)</f>
        <v>0</v>
      </c>
      <c r="O24" s="28">
        <f t="shared" si="0"/>
        <v>0</v>
      </c>
      <c r="P24" s="28">
        <f>IFERROR(VLOOKUP(C24,'[1]Colombia Radio'!$C$2:$E$69000,3,0),0)</f>
        <v>0</v>
      </c>
      <c r="Q24" s="28">
        <f>IFERROR(VLOOKUP(C24,'[1]Colombia Radio'!$C$2:$F$69000,4,0),0)</f>
        <v>0</v>
      </c>
      <c r="R24" s="28">
        <f t="shared" si="1"/>
        <v>503235</v>
      </c>
      <c r="S24" s="28">
        <f t="shared" si="2"/>
        <v>503235</v>
      </c>
      <c r="T24" s="29">
        <f t="shared" si="3"/>
        <v>0</v>
      </c>
      <c r="U24" s="5" t="s">
        <v>1163</v>
      </c>
      <c r="V24" s="5" t="s">
        <v>1037</v>
      </c>
      <c r="W24" s="5" t="s">
        <v>267</v>
      </c>
    </row>
    <row r="25" spans="1:23" ht="15.75" customHeight="1" x14ac:dyDescent="0.3">
      <c r="A25" s="10">
        <v>24</v>
      </c>
      <c r="B25" s="30" t="s">
        <v>283</v>
      </c>
      <c r="C25" s="30" t="s">
        <v>285</v>
      </c>
      <c r="D25" s="11" t="s">
        <v>31</v>
      </c>
      <c r="E25" s="11" t="s">
        <v>1164</v>
      </c>
      <c r="F25" s="11" t="s">
        <v>1165</v>
      </c>
      <c r="G25" s="12">
        <v>465495</v>
      </c>
      <c r="H25" s="11" t="s">
        <v>1166</v>
      </c>
      <c r="I25" s="11" t="s">
        <v>1167</v>
      </c>
      <c r="J25" s="11" t="s">
        <v>1168</v>
      </c>
      <c r="K25" s="12">
        <v>8679</v>
      </c>
      <c r="L25" s="11" t="s">
        <v>1169</v>
      </c>
      <c r="M25" s="12">
        <v>0</v>
      </c>
      <c r="N25" s="13">
        <v>4556797</v>
      </c>
      <c r="O25" s="13">
        <f t="shared" si="0"/>
        <v>168770.25925925927</v>
      </c>
      <c r="P25" s="13">
        <v>293</v>
      </c>
      <c r="Q25" s="13">
        <v>56</v>
      </c>
      <c r="R25" s="13">
        <f t="shared" si="1"/>
        <v>474174</v>
      </c>
      <c r="S25" s="13">
        <f t="shared" si="2"/>
        <v>642944.25925925933</v>
      </c>
      <c r="T25" s="14">
        <f t="shared" si="3"/>
        <v>0.26249594242228819</v>
      </c>
      <c r="U25" s="11" t="s">
        <v>1170</v>
      </c>
      <c r="V25" s="11" t="s">
        <v>1037</v>
      </c>
      <c r="W25" s="11" t="s">
        <v>293</v>
      </c>
    </row>
    <row r="26" spans="1:23" ht="15.75" customHeight="1" x14ac:dyDescent="0.3">
      <c r="A26" s="3">
        <v>25</v>
      </c>
      <c r="B26" s="30" t="s">
        <v>208</v>
      </c>
      <c r="C26" s="30" t="s">
        <v>277</v>
      </c>
      <c r="D26" s="5" t="s">
        <v>31</v>
      </c>
      <c r="E26" s="5" t="s">
        <v>1171</v>
      </c>
      <c r="F26" s="5" t="s">
        <v>1172</v>
      </c>
      <c r="G26" s="6">
        <v>355383</v>
      </c>
      <c r="H26" s="5" t="s">
        <v>1173</v>
      </c>
      <c r="I26" s="5" t="s">
        <v>31</v>
      </c>
      <c r="J26" s="5" t="s">
        <v>31</v>
      </c>
      <c r="K26" s="6">
        <v>0</v>
      </c>
      <c r="L26" s="5" t="s">
        <v>31</v>
      </c>
      <c r="M26" s="6">
        <v>0</v>
      </c>
      <c r="N26" s="7">
        <v>7678351</v>
      </c>
      <c r="O26" s="7">
        <f t="shared" si="0"/>
        <v>284383.37037037039</v>
      </c>
      <c r="P26" s="7">
        <v>473</v>
      </c>
      <c r="Q26" s="7">
        <v>30</v>
      </c>
      <c r="R26" s="7">
        <f t="shared" si="1"/>
        <v>355383</v>
      </c>
      <c r="S26" s="7">
        <f t="shared" si="2"/>
        <v>639766.37037037034</v>
      </c>
      <c r="T26" s="8">
        <f t="shared" si="3"/>
        <v>0.44451128340137136</v>
      </c>
      <c r="U26" s="5" t="s">
        <v>1174</v>
      </c>
      <c r="V26" s="5" t="s">
        <v>1037</v>
      </c>
      <c r="W26" s="5"/>
    </row>
    <row r="27" spans="1:23" ht="15.75" customHeight="1" x14ac:dyDescent="0.3">
      <c r="A27" s="10">
        <v>26</v>
      </c>
      <c r="B27" s="31" t="s">
        <v>295</v>
      </c>
      <c r="C27" s="31" t="s">
        <v>297</v>
      </c>
      <c r="D27" s="11" t="s">
        <v>31</v>
      </c>
      <c r="E27" s="11" t="s">
        <v>1175</v>
      </c>
      <c r="F27" s="11" t="s">
        <v>1176</v>
      </c>
      <c r="G27" s="12">
        <v>528394</v>
      </c>
      <c r="H27" s="11" t="s">
        <v>1177</v>
      </c>
      <c r="I27" s="11" t="s">
        <v>31</v>
      </c>
      <c r="J27" s="11" t="s">
        <v>31</v>
      </c>
      <c r="K27" s="12">
        <v>0</v>
      </c>
      <c r="L27" s="11" t="s">
        <v>31</v>
      </c>
      <c r="M27" s="12">
        <v>0</v>
      </c>
      <c r="N27" s="13">
        <v>1742738</v>
      </c>
      <c r="O27" s="13">
        <f t="shared" si="0"/>
        <v>64545.851851851854</v>
      </c>
      <c r="P27" s="13">
        <v>110</v>
      </c>
      <c r="Q27" s="13">
        <v>265</v>
      </c>
      <c r="R27" s="13">
        <f t="shared" si="1"/>
        <v>528394</v>
      </c>
      <c r="S27" s="13">
        <f t="shared" si="2"/>
        <v>592939.85185185191</v>
      </c>
      <c r="T27" s="14">
        <f t="shared" si="3"/>
        <v>0.10885733460192326</v>
      </c>
      <c r="U27" s="11" t="s">
        <v>1178</v>
      </c>
      <c r="V27" s="11" t="s">
        <v>1037</v>
      </c>
      <c r="W27" s="11" t="s">
        <v>302</v>
      </c>
    </row>
    <row r="28" spans="1:23" ht="15.75" customHeight="1" x14ac:dyDescent="0.3">
      <c r="A28" s="3">
        <v>27</v>
      </c>
      <c r="B28" s="31" t="s">
        <v>471</v>
      </c>
      <c r="C28" s="31" t="s">
        <v>473</v>
      </c>
      <c r="D28" s="5" t="s">
        <v>31</v>
      </c>
      <c r="E28" s="5" t="s">
        <v>1179</v>
      </c>
      <c r="F28" s="5" t="s">
        <v>1180</v>
      </c>
      <c r="G28" s="6">
        <v>590751</v>
      </c>
      <c r="H28" s="5" t="s">
        <v>1181</v>
      </c>
      <c r="I28" s="5" t="s">
        <v>31</v>
      </c>
      <c r="J28" s="5" t="s">
        <v>31</v>
      </c>
      <c r="K28" s="6">
        <v>0</v>
      </c>
      <c r="L28" s="5" t="s">
        <v>31</v>
      </c>
      <c r="M28" s="6">
        <v>0</v>
      </c>
      <c r="N28" s="7">
        <v>0</v>
      </c>
      <c r="O28" s="7">
        <f t="shared" si="0"/>
        <v>0</v>
      </c>
      <c r="P28" s="7">
        <v>0</v>
      </c>
      <c r="Q28" s="7">
        <v>0</v>
      </c>
      <c r="R28" s="7">
        <f t="shared" si="1"/>
        <v>590751</v>
      </c>
      <c r="S28" s="7">
        <f t="shared" si="2"/>
        <v>590751</v>
      </c>
      <c r="T28" s="8">
        <f t="shared" si="3"/>
        <v>0</v>
      </c>
      <c r="U28" s="5" t="s">
        <v>1182</v>
      </c>
      <c r="V28" s="5" t="s">
        <v>1037</v>
      </c>
      <c r="W28" s="5" t="s">
        <v>478</v>
      </c>
    </row>
    <row r="29" spans="1:23" ht="14.4" x14ac:dyDescent="0.3">
      <c r="A29" s="10">
        <v>28</v>
      </c>
      <c r="B29" s="30" t="s">
        <v>304</v>
      </c>
      <c r="C29" s="30" t="s">
        <v>306</v>
      </c>
      <c r="D29" s="11" t="s">
        <v>31</v>
      </c>
      <c r="E29" s="11" t="s">
        <v>1183</v>
      </c>
      <c r="F29" s="11" t="s">
        <v>1184</v>
      </c>
      <c r="G29" s="12">
        <v>407250</v>
      </c>
      <c r="H29" s="11" t="s">
        <v>1185</v>
      </c>
      <c r="I29" s="11" t="s">
        <v>31</v>
      </c>
      <c r="J29" s="11" t="s">
        <v>1186</v>
      </c>
      <c r="K29" s="12">
        <v>2</v>
      </c>
      <c r="L29" s="11" t="s">
        <v>1186</v>
      </c>
      <c r="M29" s="12">
        <v>0</v>
      </c>
      <c r="N29" s="13">
        <v>4817075</v>
      </c>
      <c r="O29" s="13">
        <f t="shared" si="0"/>
        <v>178410.1851851852</v>
      </c>
      <c r="P29" s="13">
        <v>350</v>
      </c>
      <c r="Q29" s="13">
        <v>49</v>
      </c>
      <c r="R29" s="13">
        <f t="shared" si="1"/>
        <v>407252</v>
      </c>
      <c r="S29" s="13">
        <f t="shared" si="2"/>
        <v>585662.18518518517</v>
      </c>
      <c r="T29" s="14">
        <f t="shared" si="3"/>
        <v>0.30462985266629816</v>
      </c>
      <c r="U29" s="11" t="s">
        <v>1187</v>
      </c>
      <c r="V29" s="11" t="s">
        <v>1037</v>
      </c>
      <c r="W29" s="11" t="s">
        <v>311</v>
      </c>
    </row>
    <row r="30" spans="1:23" ht="14.4" x14ac:dyDescent="0.3">
      <c r="A30" s="3">
        <v>29</v>
      </c>
      <c r="B30" s="30" t="s">
        <v>325</v>
      </c>
      <c r="C30" s="30" t="s">
        <v>327</v>
      </c>
      <c r="D30" s="5" t="s">
        <v>31</v>
      </c>
      <c r="E30" s="5" t="s">
        <v>1188</v>
      </c>
      <c r="F30" s="5" t="s">
        <v>1189</v>
      </c>
      <c r="G30" s="6">
        <v>391777</v>
      </c>
      <c r="H30" s="5" t="s">
        <v>1190</v>
      </c>
      <c r="I30" s="5" t="s">
        <v>1191</v>
      </c>
      <c r="J30" s="5" t="s">
        <v>1192</v>
      </c>
      <c r="K30" s="6">
        <v>9027</v>
      </c>
      <c r="L30" s="5" t="s">
        <v>1193</v>
      </c>
      <c r="M30" s="6">
        <v>0</v>
      </c>
      <c r="N30" s="7">
        <v>4628463</v>
      </c>
      <c r="O30" s="7">
        <f t="shared" si="0"/>
        <v>171424.55555555556</v>
      </c>
      <c r="P30" s="7">
        <v>269</v>
      </c>
      <c r="Q30" s="7">
        <v>55</v>
      </c>
      <c r="R30" s="7">
        <f t="shared" si="1"/>
        <v>400804</v>
      </c>
      <c r="S30" s="7">
        <f t="shared" si="2"/>
        <v>572228.5555555555</v>
      </c>
      <c r="T30" s="8">
        <f t="shared" si="3"/>
        <v>0.29957357753516128</v>
      </c>
      <c r="U30" s="5" t="s">
        <v>1194</v>
      </c>
      <c r="V30" s="5" t="s">
        <v>1037</v>
      </c>
      <c r="W30" s="5" t="s">
        <v>335</v>
      </c>
    </row>
    <row r="31" spans="1:23" ht="14.4" x14ac:dyDescent="0.3">
      <c r="A31" s="10">
        <v>30</v>
      </c>
      <c r="B31" s="31" t="s">
        <v>337</v>
      </c>
      <c r="C31" s="31" t="s">
        <v>339</v>
      </c>
      <c r="D31" s="11" t="s">
        <v>31</v>
      </c>
      <c r="E31" s="11" t="s">
        <v>1195</v>
      </c>
      <c r="F31" s="11" t="s">
        <v>1196</v>
      </c>
      <c r="G31" s="12">
        <v>441104</v>
      </c>
      <c r="H31" s="11" t="s">
        <v>1197</v>
      </c>
      <c r="I31" s="11" t="s">
        <v>1198</v>
      </c>
      <c r="J31" s="11" t="s">
        <v>58</v>
      </c>
      <c r="K31" s="12">
        <v>8530</v>
      </c>
      <c r="L31" s="11" t="s">
        <v>1199</v>
      </c>
      <c r="M31" s="12">
        <v>0</v>
      </c>
      <c r="N31" s="13">
        <v>2836681</v>
      </c>
      <c r="O31" s="13">
        <f t="shared" si="0"/>
        <v>105062.25925925926</v>
      </c>
      <c r="P31" s="13">
        <v>151</v>
      </c>
      <c r="Q31" s="13">
        <v>108</v>
      </c>
      <c r="R31" s="13">
        <f t="shared" si="1"/>
        <v>449634</v>
      </c>
      <c r="S31" s="13">
        <f t="shared" si="2"/>
        <v>554696.25925925921</v>
      </c>
      <c r="T31" s="14">
        <f t="shared" si="3"/>
        <v>0.18940502573346948</v>
      </c>
      <c r="U31" s="11" t="s">
        <v>1200</v>
      </c>
      <c r="V31" s="11" t="s">
        <v>1037</v>
      </c>
      <c r="W31" s="11" t="s">
        <v>347</v>
      </c>
    </row>
    <row r="32" spans="1:23" ht="14.4" x14ac:dyDescent="0.3">
      <c r="A32" s="3">
        <v>31</v>
      </c>
      <c r="B32" s="30" t="s">
        <v>372</v>
      </c>
      <c r="C32" s="30" t="s">
        <v>374</v>
      </c>
      <c r="D32" s="5" t="s">
        <v>31</v>
      </c>
      <c r="E32" s="5" t="s">
        <v>1201</v>
      </c>
      <c r="F32" s="5" t="s">
        <v>1202</v>
      </c>
      <c r="G32" s="6">
        <v>488743</v>
      </c>
      <c r="H32" s="5" t="s">
        <v>1203</v>
      </c>
      <c r="I32" s="5" t="s">
        <v>31</v>
      </c>
      <c r="J32" s="5" t="s">
        <v>31</v>
      </c>
      <c r="K32" s="6">
        <v>0</v>
      </c>
      <c r="L32" s="5" t="s">
        <v>31</v>
      </c>
      <c r="M32" s="6">
        <v>0</v>
      </c>
      <c r="N32" s="7">
        <v>1516985</v>
      </c>
      <c r="O32" s="7">
        <f t="shared" si="0"/>
        <v>56184.629629629628</v>
      </c>
      <c r="P32" s="7">
        <v>74</v>
      </c>
      <c r="Q32" s="7">
        <v>337</v>
      </c>
      <c r="R32" s="7">
        <f t="shared" si="1"/>
        <v>488743</v>
      </c>
      <c r="S32" s="7">
        <f t="shared" si="2"/>
        <v>544927.62962962966</v>
      </c>
      <c r="T32" s="8">
        <f t="shared" si="3"/>
        <v>0.1031047547870101</v>
      </c>
      <c r="U32" s="5" t="s">
        <v>1204</v>
      </c>
      <c r="V32" s="5" t="s">
        <v>1037</v>
      </c>
      <c r="W32" s="5" t="s">
        <v>379</v>
      </c>
    </row>
    <row r="33" spans="1:23" ht="14.4" x14ac:dyDescent="0.3">
      <c r="A33" s="10">
        <v>32</v>
      </c>
      <c r="B33" s="30" t="s">
        <v>313</v>
      </c>
      <c r="C33" s="30" t="s">
        <v>315</v>
      </c>
      <c r="D33" s="11" t="s">
        <v>31</v>
      </c>
      <c r="E33" s="11" t="s">
        <v>1205</v>
      </c>
      <c r="F33" s="11" t="s">
        <v>1206</v>
      </c>
      <c r="G33" s="12">
        <v>414718</v>
      </c>
      <c r="H33" s="11" t="s">
        <v>1207</v>
      </c>
      <c r="I33" s="11" t="s">
        <v>1208</v>
      </c>
      <c r="J33" s="11" t="s">
        <v>1209</v>
      </c>
      <c r="K33" s="12">
        <v>11109</v>
      </c>
      <c r="L33" s="11" t="s">
        <v>1210</v>
      </c>
      <c r="M33" s="12">
        <v>0</v>
      </c>
      <c r="N33" s="13">
        <v>2904905</v>
      </c>
      <c r="O33" s="13">
        <f t="shared" si="0"/>
        <v>107589.07407407407</v>
      </c>
      <c r="P33" s="13">
        <v>219</v>
      </c>
      <c r="Q33" s="13">
        <v>103</v>
      </c>
      <c r="R33" s="13">
        <f t="shared" si="1"/>
        <v>425827</v>
      </c>
      <c r="S33" s="13">
        <f t="shared" si="2"/>
        <v>533416.07407407404</v>
      </c>
      <c r="T33" s="14">
        <f t="shared" si="3"/>
        <v>0.201698222650736</v>
      </c>
      <c r="U33" s="11" t="s">
        <v>1211</v>
      </c>
      <c r="V33" s="11" t="s">
        <v>1037</v>
      </c>
      <c r="W33" s="11" t="s">
        <v>323</v>
      </c>
    </row>
    <row r="34" spans="1:23" ht="14.4" x14ac:dyDescent="0.3">
      <c r="A34" s="3">
        <v>33</v>
      </c>
      <c r="B34" s="31" t="s">
        <v>283</v>
      </c>
      <c r="C34" s="31" t="s">
        <v>393</v>
      </c>
      <c r="D34" s="5" t="s">
        <v>31</v>
      </c>
      <c r="E34" s="5" t="s">
        <v>1212</v>
      </c>
      <c r="F34" s="5" t="s">
        <v>1213</v>
      </c>
      <c r="G34" s="6">
        <v>376363</v>
      </c>
      <c r="H34" s="5" t="s">
        <v>1214</v>
      </c>
      <c r="I34" s="5" t="s">
        <v>31</v>
      </c>
      <c r="J34" s="5" t="s">
        <v>31</v>
      </c>
      <c r="K34" s="6">
        <v>0</v>
      </c>
      <c r="L34" s="5" t="s">
        <v>31</v>
      </c>
      <c r="M34" s="6">
        <v>0</v>
      </c>
      <c r="N34" s="7">
        <v>4098093</v>
      </c>
      <c r="O34" s="7">
        <f t="shared" si="0"/>
        <v>151781.22222222222</v>
      </c>
      <c r="P34" s="7">
        <v>246</v>
      </c>
      <c r="Q34" s="7">
        <v>66</v>
      </c>
      <c r="R34" s="7">
        <f t="shared" si="1"/>
        <v>376363</v>
      </c>
      <c r="S34" s="7">
        <f t="shared" si="2"/>
        <v>528144.22222222225</v>
      </c>
      <c r="T34" s="8">
        <f t="shared" si="3"/>
        <v>0.28738593709041593</v>
      </c>
      <c r="U34" s="5" t="s">
        <v>1215</v>
      </c>
      <c r="V34" s="5" t="s">
        <v>1037</v>
      </c>
      <c r="W34" s="5" t="s">
        <v>398</v>
      </c>
    </row>
    <row r="35" spans="1:23" ht="14.4" x14ac:dyDescent="0.3">
      <c r="A35" s="10">
        <v>34</v>
      </c>
      <c r="B35" s="30" t="s">
        <v>419</v>
      </c>
      <c r="C35" s="30" t="s">
        <v>420</v>
      </c>
      <c r="D35" s="11" t="s">
        <v>31</v>
      </c>
      <c r="E35" s="11" t="s">
        <v>1216</v>
      </c>
      <c r="F35" s="11" t="s">
        <v>1217</v>
      </c>
      <c r="G35" s="12">
        <v>526920</v>
      </c>
      <c r="H35" s="11" t="s">
        <v>1218</v>
      </c>
      <c r="I35" s="11" t="s">
        <v>31</v>
      </c>
      <c r="J35" s="11" t="s">
        <v>31</v>
      </c>
      <c r="K35" s="12">
        <v>0</v>
      </c>
      <c r="L35" s="11" t="s">
        <v>31</v>
      </c>
      <c r="M35" s="12">
        <v>0</v>
      </c>
      <c r="N35" s="13">
        <v>0</v>
      </c>
      <c r="O35" s="13">
        <f t="shared" si="0"/>
        <v>0</v>
      </c>
      <c r="P35" s="13">
        <v>0</v>
      </c>
      <c r="Q35" s="13">
        <v>0</v>
      </c>
      <c r="R35" s="13">
        <f t="shared" si="1"/>
        <v>526920</v>
      </c>
      <c r="S35" s="13">
        <f t="shared" si="2"/>
        <v>526920</v>
      </c>
      <c r="T35" s="14">
        <f t="shared" si="3"/>
        <v>0</v>
      </c>
      <c r="U35" s="11" t="s">
        <v>1219</v>
      </c>
      <c r="V35" s="11" t="s">
        <v>1037</v>
      </c>
      <c r="W35" s="11"/>
    </row>
    <row r="36" spans="1:23" ht="14.4" x14ac:dyDescent="0.3">
      <c r="A36" s="3">
        <v>35</v>
      </c>
      <c r="B36" s="30" t="s">
        <v>410</v>
      </c>
      <c r="C36" s="30" t="s">
        <v>412</v>
      </c>
      <c r="D36" s="5" t="s">
        <v>31</v>
      </c>
      <c r="E36" s="5" t="s">
        <v>1220</v>
      </c>
      <c r="F36" s="5" t="s">
        <v>1221</v>
      </c>
      <c r="G36" s="6">
        <v>493725</v>
      </c>
      <c r="H36" s="5" t="s">
        <v>1222</v>
      </c>
      <c r="I36" s="5" t="s">
        <v>31</v>
      </c>
      <c r="J36" s="5" t="s">
        <v>31</v>
      </c>
      <c r="K36" s="6">
        <v>0</v>
      </c>
      <c r="L36" s="5" t="s">
        <v>31</v>
      </c>
      <c r="M36" s="6">
        <v>0</v>
      </c>
      <c r="N36" s="7">
        <v>768370</v>
      </c>
      <c r="O36" s="7">
        <f t="shared" si="0"/>
        <v>28458.14814814815</v>
      </c>
      <c r="P36" s="7">
        <v>87</v>
      </c>
      <c r="Q36" s="7">
        <v>1329</v>
      </c>
      <c r="R36" s="7">
        <f t="shared" si="1"/>
        <v>493725</v>
      </c>
      <c r="S36" s="7">
        <f t="shared" si="2"/>
        <v>522183.14814814815</v>
      </c>
      <c r="T36" s="8">
        <f t="shared" si="3"/>
        <v>5.4498403958594066E-2</v>
      </c>
      <c r="U36" s="5" t="s">
        <v>1223</v>
      </c>
      <c r="V36" s="5" t="s">
        <v>1037</v>
      </c>
      <c r="W36" s="5" t="s">
        <v>417</v>
      </c>
    </row>
    <row r="37" spans="1:23" ht="14.4" x14ac:dyDescent="0.3">
      <c r="A37" s="10">
        <v>36</v>
      </c>
      <c r="B37" s="30" t="s">
        <v>381</v>
      </c>
      <c r="C37" s="30" t="s">
        <v>383</v>
      </c>
      <c r="D37" s="11" t="s">
        <v>31</v>
      </c>
      <c r="E37" s="11" t="s">
        <v>1224</v>
      </c>
      <c r="F37" s="11" t="s">
        <v>1225</v>
      </c>
      <c r="G37" s="12">
        <v>372927</v>
      </c>
      <c r="H37" s="11" t="s">
        <v>1226</v>
      </c>
      <c r="I37" s="11" t="s">
        <v>1227</v>
      </c>
      <c r="J37" s="11" t="s">
        <v>1228</v>
      </c>
      <c r="K37" s="12">
        <v>7573</v>
      </c>
      <c r="L37" s="11" t="s">
        <v>1229</v>
      </c>
      <c r="M37" s="12">
        <v>0</v>
      </c>
      <c r="N37" s="13">
        <v>3793701</v>
      </c>
      <c r="O37" s="13">
        <f t="shared" si="0"/>
        <v>140507.44444444444</v>
      </c>
      <c r="P37" s="13">
        <v>209</v>
      </c>
      <c r="Q37" s="13">
        <v>76</v>
      </c>
      <c r="R37" s="13">
        <f t="shared" si="1"/>
        <v>380500</v>
      </c>
      <c r="S37" s="13">
        <f t="shared" si="2"/>
        <v>521007.44444444444</v>
      </c>
      <c r="T37" s="14">
        <f t="shared" si="3"/>
        <v>0.26968413972331806</v>
      </c>
      <c r="U37" s="11" t="s">
        <v>1230</v>
      </c>
      <c r="V37" s="11" t="s">
        <v>1037</v>
      </c>
      <c r="W37" s="11" t="s">
        <v>391</v>
      </c>
    </row>
    <row r="38" spans="1:23" ht="14.4" x14ac:dyDescent="0.3">
      <c r="A38" s="3">
        <v>37</v>
      </c>
      <c r="B38" s="30" t="s">
        <v>313</v>
      </c>
      <c r="C38" s="30" t="s">
        <v>400</v>
      </c>
      <c r="D38" s="11" t="s">
        <v>31</v>
      </c>
      <c r="E38" s="11" t="s">
        <v>1231</v>
      </c>
      <c r="F38" s="11" t="s">
        <v>1232</v>
      </c>
      <c r="G38" s="12">
        <v>409602</v>
      </c>
      <c r="H38" s="11" t="s">
        <v>1233</v>
      </c>
      <c r="I38" s="11" t="s">
        <v>1234</v>
      </c>
      <c r="J38" s="11" t="s">
        <v>1235</v>
      </c>
      <c r="K38" s="12">
        <v>504</v>
      </c>
      <c r="L38" s="11" t="s">
        <v>1236</v>
      </c>
      <c r="M38" s="12">
        <v>0</v>
      </c>
      <c r="N38" s="13">
        <v>2425493</v>
      </c>
      <c r="O38" s="13">
        <f t="shared" si="0"/>
        <v>89833.074074074073</v>
      </c>
      <c r="P38" s="13">
        <v>171</v>
      </c>
      <c r="Q38" s="13">
        <v>142</v>
      </c>
      <c r="R38" s="13">
        <f t="shared" si="1"/>
        <v>410106</v>
      </c>
      <c r="S38" s="13">
        <f t="shared" si="2"/>
        <v>499939.07407407404</v>
      </c>
      <c r="T38" s="14">
        <f t="shared" si="3"/>
        <v>0.1796880434690005</v>
      </c>
      <c r="U38" s="11" t="s">
        <v>1237</v>
      </c>
      <c r="V38" s="11" t="s">
        <v>1037</v>
      </c>
      <c r="W38" s="11" t="s">
        <v>408</v>
      </c>
    </row>
    <row r="39" spans="1:23" ht="14.4" x14ac:dyDescent="0.3">
      <c r="A39" s="10">
        <v>38</v>
      </c>
      <c r="B39" s="30" t="s">
        <v>360</v>
      </c>
      <c r="C39" s="30" t="s">
        <v>362</v>
      </c>
      <c r="D39" s="5" t="s">
        <v>31</v>
      </c>
      <c r="E39" s="5" t="s">
        <v>1238</v>
      </c>
      <c r="F39" s="5" t="s">
        <v>1239</v>
      </c>
      <c r="G39" s="6">
        <v>480322</v>
      </c>
      <c r="H39" s="5" t="s">
        <v>1240</v>
      </c>
      <c r="I39" s="5" t="s">
        <v>1241</v>
      </c>
      <c r="J39" s="5" t="s">
        <v>1242</v>
      </c>
      <c r="K39" s="6">
        <v>10123</v>
      </c>
      <c r="L39" s="5" t="s">
        <v>1243</v>
      </c>
      <c r="M39" s="6">
        <v>0</v>
      </c>
      <c r="N39" s="7">
        <v>245380</v>
      </c>
      <c r="O39" s="7">
        <f t="shared" si="0"/>
        <v>9088.1481481481478</v>
      </c>
      <c r="P39" s="7">
        <v>46</v>
      </c>
      <c r="Q39" s="7">
        <v>5126</v>
      </c>
      <c r="R39" s="7">
        <f t="shared" si="1"/>
        <v>490445</v>
      </c>
      <c r="S39" s="7">
        <f t="shared" si="2"/>
        <v>499533.14814814815</v>
      </c>
      <c r="T39" s="8">
        <f t="shared" si="3"/>
        <v>1.8193283432419678E-2</v>
      </c>
      <c r="U39" s="5" t="s">
        <v>1244</v>
      </c>
      <c r="V39" s="5" t="s">
        <v>1037</v>
      </c>
      <c r="W39" s="5" t="s">
        <v>370</v>
      </c>
    </row>
    <row r="40" spans="1:23" ht="14.4" x14ac:dyDescent="0.3">
      <c r="A40" s="3">
        <v>39</v>
      </c>
      <c r="B40" s="30" t="s">
        <v>514</v>
      </c>
      <c r="C40" s="30" t="s">
        <v>538</v>
      </c>
      <c r="D40" s="11" t="s">
        <v>31</v>
      </c>
      <c r="E40" s="11" t="s">
        <v>1245</v>
      </c>
      <c r="F40" s="11" t="s">
        <v>1246</v>
      </c>
      <c r="G40" s="12">
        <v>344478</v>
      </c>
      <c r="H40" s="11" t="s">
        <v>1247</v>
      </c>
      <c r="I40" s="11" t="s">
        <v>1248</v>
      </c>
      <c r="J40" s="11" t="s">
        <v>1249</v>
      </c>
      <c r="K40" s="12">
        <v>6398</v>
      </c>
      <c r="L40" s="11" t="s">
        <v>1250</v>
      </c>
      <c r="M40" s="12">
        <v>0</v>
      </c>
      <c r="N40" s="13">
        <v>3977503</v>
      </c>
      <c r="O40" s="13">
        <f t="shared" si="0"/>
        <v>147314.92592592593</v>
      </c>
      <c r="P40" s="13">
        <v>248</v>
      </c>
      <c r="Q40" s="13">
        <v>71</v>
      </c>
      <c r="R40" s="13">
        <f t="shared" si="1"/>
        <v>350876</v>
      </c>
      <c r="S40" s="13">
        <f t="shared" si="2"/>
        <v>498190.92592592596</v>
      </c>
      <c r="T40" s="14">
        <f t="shared" si="3"/>
        <v>0.29569973730880356</v>
      </c>
      <c r="U40" s="11" t="s">
        <v>1251</v>
      </c>
      <c r="V40" s="11" t="s">
        <v>1037</v>
      </c>
      <c r="W40" s="11" t="s">
        <v>546</v>
      </c>
    </row>
    <row r="41" spans="1:23" ht="14.4" x14ac:dyDescent="0.3">
      <c r="A41" s="10">
        <v>40</v>
      </c>
      <c r="B41" s="31" t="s">
        <v>781</v>
      </c>
      <c r="C41" s="31" t="s">
        <v>783</v>
      </c>
      <c r="D41" s="5" t="s">
        <v>31</v>
      </c>
      <c r="E41" s="5" t="s">
        <v>1252</v>
      </c>
      <c r="F41" s="5" t="s">
        <v>1253</v>
      </c>
      <c r="G41" s="6">
        <v>447080</v>
      </c>
      <c r="H41" s="5" t="s">
        <v>1254</v>
      </c>
      <c r="I41" s="5" t="s">
        <v>31</v>
      </c>
      <c r="J41" s="5" t="s">
        <v>31</v>
      </c>
      <c r="K41" s="6">
        <v>0</v>
      </c>
      <c r="L41" s="5" t="s">
        <v>31</v>
      </c>
      <c r="M41" s="6">
        <v>0</v>
      </c>
      <c r="N41" s="7">
        <v>921062</v>
      </c>
      <c r="O41" s="7">
        <f t="shared" si="0"/>
        <v>34113.407407407409</v>
      </c>
      <c r="P41" s="7">
        <v>50</v>
      </c>
      <c r="Q41" s="7">
        <v>966</v>
      </c>
      <c r="R41" s="7">
        <f t="shared" si="1"/>
        <v>447080</v>
      </c>
      <c r="S41" s="7">
        <f t="shared" si="2"/>
        <v>481193.40740740742</v>
      </c>
      <c r="T41" s="8">
        <f t="shared" si="3"/>
        <v>7.0893339107044206E-2</v>
      </c>
      <c r="U41" s="5" t="s">
        <v>1255</v>
      </c>
      <c r="V41" s="5" t="s">
        <v>1037</v>
      </c>
      <c r="W41" s="5" t="s">
        <v>788</v>
      </c>
    </row>
    <row r="42" spans="1:23" ht="14.4" x14ac:dyDescent="0.3">
      <c r="A42" s="3">
        <v>41</v>
      </c>
      <c r="B42" s="30" t="s">
        <v>548</v>
      </c>
      <c r="C42" s="30" t="s">
        <v>550</v>
      </c>
      <c r="D42" s="11" t="s">
        <v>31</v>
      </c>
      <c r="E42" s="11" t="s">
        <v>1256</v>
      </c>
      <c r="F42" s="11" t="s">
        <v>1257</v>
      </c>
      <c r="G42" s="12">
        <v>315806</v>
      </c>
      <c r="H42" s="11" t="s">
        <v>1258</v>
      </c>
      <c r="I42" s="11" t="s">
        <v>31</v>
      </c>
      <c r="J42" s="11" t="s">
        <v>31</v>
      </c>
      <c r="K42" s="12">
        <v>0</v>
      </c>
      <c r="L42" s="11" t="s">
        <v>31</v>
      </c>
      <c r="M42" s="12">
        <v>0</v>
      </c>
      <c r="N42" s="13">
        <v>4464978</v>
      </c>
      <c r="O42" s="13">
        <f t="shared" si="0"/>
        <v>165369.55555555556</v>
      </c>
      <c r="P42" s="13">
        <v>287</v>
      </c>
      <c r="Q42" s="13">
        <v>58</v>
      </c>
      <c r="R42" s="13">
        <f t="shared" si="1"/>
        <v>315806</v>
      </c>
      <c r="S42" s="13">
        <f t="shared" si="2"/>
        <v>481175.55555555556</v>
      </c>
      <c r="T42" s="14">
        <f t="shared" si="3"/>
        <v>0.34367821400366694</v>
      </c>
      <c r="U42" s="11" t="s">
        <v>1259</v>
      </c>
      <c r="V42" s="11" t="s">
        <v>1037</v>
      </c>
      <c r="W42" s="11" t="s">
        <v>555</v>
      </c>
    </row>
    <row r="43" spans="1:23" ht="14.4" x14ac:dyDescent="0.3">
      <c r="A43" s="10">
        <v>42</v>
      </c>
      <c r="B43" s="30" t="s">
        <v>492</v>
      </c>
      <c r="C43" s="30" t="s">
        <v>494</v>
      </c>
      <c r="D43" s="5" t="s">
        <v>31</v>
      </c>
      <c r="E43" s="5" t="s">
        <v>1260</v>
      </c>
      <c r="F43" s="5" t="s">
        <v>1261</v>
      </c>
      <c r="G43" s="6">
        <v>323698</v>
      </c>
      <c r="H43" s="5" t="s">
        <v>1262</v>
      </c>
      <c r="I43" s="5" t="s">
        <v>1263</v>
      </c>
      <c r="J43" s="5" t="s">
        <v>1264</v>
      </c>
      <c r="K43" s="6">
        <v>6625</v>
      </c>
      <c r="L43" s="5" t="s">
        <v>1265</v>
      </c>
      <c r="M43" s="6">
        <v>0</v>
      </c>
      <c r="N43" s="7">
        <v>4031900</v>
      </c>
      <c r="O43" s="7">
        <f t="shared" si="0"/>
        <v>149329.62962962964</v>
      </c>
      <c r="P43" s="7">
        <v>148</v>
      </c>
      <c r="Q43" s="7">
        <v>69</v>
      </c>
      <c r="R43" s="7">
        <f t="shared" si="1"/>
        <v>330323</v>
      </c>
      <c r="S43" s="7">
        <f t="shared" si="2"/>
        <v>479652.62962962966</v>
      </c>
      <c r="T43" s="8">
        <f t="shared" si="3"/>
        <v>0.31132869999052554</v>
      </c>
      <c r="U43" s="5" t="s">
        <v>1266</v>
      </c>
      <c r="V43" s="5" t="s">
        <v>1037</v>
      </c>
      <c r="W43" s="5" t="s">
        <v>502</v>
      </c>
    </row>
    <row r="44" spans="1:23" ht="14.4" x14ac:dyDescent="0.3">
      <c r="A44" s="3">
        <v>43</v>
      </c>
      <c r="B44" s="30" t="s">
        <v>514</v>
      </c>
      <c r="C44" s="30" t="s">
        <v>516</v>
      </c>
      <c r="D44" s="11" t="s">
        <v>31</v>
      </c>
      <c r="E44" s="11" t="s">
        <v>1267</v>
      </c>
      <c r="F44" s="11" t="s">
        <v>1268</v>
      </c>
      <c r="G44" s="12">
        <v>424556</v>
      </c>
      <c r="H44" s="11" t="s">
        <v>1269</v>
      </c>
      <c r="I44" s="11" t="s">
        <v>1270</v>
      </c>
      <c r="J44" s="11" t="s">
        <v>1271</v>
      </c>
      <c r="K44" s="12">
        <v>14357</v>
      </c>
      <c r="L44" s="11" t="s">
        <v>1272</v>
      </c>
      <c r="M44" s="12">
        <v>0</v>
      </c>
      <c r="N44" s="13">
        <v>1073753</v>
      </c>
      <c r="O44" s="13">
        <f t="shared" si="0"/>
        <v>39768.629629629628</v>
      </c>
      <c r="P44" s="13">
        <v>80</v>
      </c>
      <c r="Q44" s="13">
        <v>738</v>
      </c>
      <c r="R44" s="13">
        <f t="shared" si="1"/>
        <v>438913</v>
      </c>
      <c r="S44" s="13">
        <f t="shared" si="2"/>
        <v>478681.62962962961</v>
      </c>
      <c r="T44" s="14">
        <f t="shared" si="3"/>
        <v>8.3079498288663831E-2</v>
      </c>
      <c r="U44" s="11" t="s">
        <v>1273</v>
      </c>
      <c r="V44" s="11" t="s">
        <v>1037</v>
      </c>
      <c r="W44" s="11" t="s">
        <v>524</v>
      </c>
    </row>
    <row r="45" spans="1:23" ht="14.4" x14ac:dyDescent="0.3">
      <c r="A45" s="10">
        <v>44</v>
      </c>
      <c r="B45" s="30" t="s">
        <v>639</v>
      </c>
      <c r="C45" s="30" t="s">
        <v>641</v>
      </c>
      <c r="D45" s="5" t="s">
        <v>31</v>
      </c>
      <c r="E45" s="5" t="s">
        <v>1274</v>
      </c>
      <c r="F45" s="5" t="s">
        <v>1275</v>
      </c>
      <c r="G45" s="6">
        <v>318979</v>
      </c>
      <c r="H45" s="5" t="s">
        <v>1276</v>
      </c>
      <c r="I45" s="5" t="s">
        <v>645</v>
      </c>
      <c r="J45" s="5" t="s">
        <v>1277</v>
      </c>
      <c r="K45" s="6">
        <v>7811</v>
      </c>
      <c r="L45" s="5" t="s">
        <v>1278</v>
      </c>
      <c r="M45" s="6">
        <v>0</v>
      </c>
      <c r="N45" s="7">
        <v>4094890</v>
      </c>
      <c r="O45" s="7">
        <f t="shared" si="0"/>
        <v>151662.59259259258</v>
      </c>
      <c r="P45" s="7">
        <v>220</v>
      </c>
      <c r="Q45" s="7">
        <v>67</v>
      </c>
      <c r="R45" s="7">
        <f t="shared" si="1"/>
        <v>326790</v>
      </c>
      <c r="S45" s="7">
        <f t="shared" si="2"/>
        <v>478452.59259259258</v>
      </c>
      <c r="T45" s="8">
        <f t="shared" si="3"/>
        <v>0.31698562185811974</v>
      </c>
      <c r="U45" s="5" t="s">
        <v>1279</v>
      </c>
      <c r="V45" s="5" t="s">
        <v>1037</v>
      </c>
      <c r="W45" s="5" t="s">
        <v>649</v>
      </c>
    </row>
    <row r="46" spans="1:23" ht="14.4" x14ac:dyDescent="0.3">
      <c r="A46" s="3">
        <v>45</v>
      </c>
      <c r="B46" s="30" t="s">
        <v>426</v>
      </c>
      <c r="C46" s="32">
        <v>444</v>
      </c>
      <c r="D46" s="11" t="s">
        <v>31</v>
      </c>
      <c r="E46" s="11" t="s">
        <v>1280</v>
      </c>
      <c r="F46" s="11" t="s">
        <v>1281</v>
      </c>
      <c r="G46" s="12">
        <v>464721</v>
      </c>
      <c r="H46" s="11" t="s">
        <v>1282</v>
      </c>
      <c r="I46" s="11" t="s">
        <v>1283</v>
      </c>
      <c r="J46" s="11" t="s">
        <v>1284</v>
      </c>
      <c r="K46" s="12">
        <v>11891</v>
      </c>
      <c r="L46" s="11" t="s">
        <v>1285</v>
      </c>
      <c r="M46" s="12">
        <v>0</v>
      </c>
      <c r="N46" s="13">
        <v>0</v>
      </c>
      <c r="O46" s="13">
        <f t="shared" si="0"/>
        <v>0</v>
      </c>
      <c r="P46" s="13">
        <v>0</v>
      </c>
      <c r="Q46" s="13">
        <v>0</v>
      </c>
      <c r="R46" s="13">
        <f t="shared" si="1"/>
        <v>476612</v>
      </c>
      <c r="S46" s="13">
        <f t="shared" si="2"/>
        <v>476612</v>
      </c>
      <c r="T46" s="14">
        <f t="shared" si="3"/>
        <v>0</v>
      </c>
      <c r="U46" s="11" t="s">
        <v>1286</v>
      </c>
      <c r="V46" s="11" t="s">
        <v>1037</v>
      </c>
      <c r="W46" s="11" t="s">
        <v>436</v>
      </c>
    </row>
    <row r="47" spans="1:23" ht="14.4" x14ac:dyDescent="0.3">
      <c r="A47" s="10">
        <v>46</v>
      </c>
      <c r="B47" s="30" t="s">
        <v>313</v>
      </c>
      <c r="C47" s="30" t="s">
        <v>504</v>
      </c>
      <c r="D47" s="5" t="s">
        <v>31</v>
      </c>
      <c r="E47" s="5" t="s">
        <v>1287</v>
      </c>
      <c r="F47" s="5" t="s">
        <v>1288</v>
      </c>
      <c r="G47" s="6">
        <v>347815</v>
      </c>
      <c r="H47" s="5" t="s">
        <v>1289</v>
      </c>
      <c r="I47" s="5" t="s">
        <v>1290</v>
      </c>
      <c r="J47" s="5" t="s">
        <v>877</v>
      </c>
      <c r="K47" s="6">
        <v>237</v>
      </c>
      <c r="L47" s="5" t="s">
        <v>1291</v>
      </c>
      <c r="M47" s="6">
        <v>0</v>
      </c>
      <c r="N47" s="7">
        <v>3333269</v>
      </c>
      <c r="O47" s="7">
        <f t="shared" si="0"/>
        <v>123454.4074074074</v>
      </c>
      <c r="P47" s="7">
        <v>222</v>
      </c>
      <c r="Q47" s="7">
        <v>89</v>
      </c>
      <c r="R47" s="7">
        <f t="shared" si="1"/>
        <v>348052</v>
      </c>
      <c r="S47" s="7">
        <f t="shared" si="2"/>
        <v>471506.40740740742</v>
      </c>
      <c r="T47" s="8">
        <f t="shared" si="3"/>
        <v>0.26182975558322796</v>
      </c>
      <c r="U47" s="5" t="s">
        <v>1292</v>
      </c>
      <c r="V47" s="5" t="s">
        <v>1037</v>
      </c>
      <c r="W47" s="5" t="s">
        <v>512</v>
      </c>
    </row>
    <row r="48" spans="1:23" ht="14.4" x14ac:dyDescent="0.3">
      <c r="A48" s="3">
        <v>47</v>
      </c>
      <c r="B48" s="30" t="s">
        <v>526</v>
      </c>
      <c r="C48" s="30" t="s">
        <v>528</v>
      </c>
      <c r="D48" s="11" t="s">
        <v>31</v>
      </c>
      <c r="E48" s="11" t="s">
        <v>1293</v>
      </c>
      <c r="F48" s="11" t="s">
        <v>1294</v>
      </c>
      <c r="G48" s="12">
        <v>404467</v>
      </c>
      <c r="H48" s="11" t="s">
        <v>1295</v>
      </c>
      <c r="I48" s="11" t="s">
        <v>1296</v>
      </c>
      <c r="J48" s="11" t="s">
        <v>1297</v>
      </c>
      <c r="K48" s="12">
        <v>7327</v>
      </c>
      <c r="L48" s="11" t="s">
        <v>1298</v>
      </c>
      <c r="M48" s="12">
        <v>0</v>
      </c>
      <c r="N48" s="13">
        <v>1505965</v>
      </c>
      <c r="O48" s="13">
        <f t="shared" si="0"/>
        <v>55776.481481481482</v>
      </c>
      <c r="P48" s="13">
        <v>142</v>
      </c>
      <c r="Q48" s="13">
        <v>343</v>
      </c>
      <c r="R48" s="13">
        <f t="shared" si="1"/>
        <v>411794</v>
      </c>
      <c r="S48" s="13">
        <f t="shared" si="2"/>
        <v>467570.48148148146</v>
      </c>
      <c r="T48" s="14">
        <f t="shared" si="3"/>
        <v>0.11928999731710087</v>
      </c>
      <c r="U48" s="11" t="s">
        <v>1299</v>
      </c>
      <c r="V48" s="11" t="s">
        <v>1037</v>
      </c>
      <c r="W48" s="11" t="s">
        <v>536</v>
      </c>
    </row>
    <row r="49" spans="1:23" ht="14.4" x14ac:dyDescent="0.3">
      <c r="A49" s="10">
        <v>48</v>
      </c>
      <c r="B49" s="31" t="s">
        <v>599</v>
      </c>
      <c r="C49" s="31" t="s">
        <v>601</v>
      </c>
      <c r="D49" s="5" t="s">
        <v>31</v>
      </c>
      <c r="E49" s="5" t="s">
        <v>1300</v>
      </c>
      <c r="F49" s="5" t="s">
        <v>1301</v>
      </c>
      <c r="G49" s="6">
        <v>358948</v>
      </c>
      <c r="H49" s="5" t="s">
        <v>1302</v>
      </c>
      <c r="I49" s="5" t="s">
        <v>1303</v>
      </c>
      <c r="J49" s="5" t="s">
        <v>1304</v>
      </c>
      <c r="K49" s="6">
        <v>11940</v>
      </c>
      <c r="L49" s="5" t="s">
        <v>1305</v>
      </c>
      <c r="M49" s="6">
        <v>0</v>
      </c>
      <c r="N49" s="7">
        <v>2491027</v>
      </c>
      <c r="O49" s="7">
        <f t="shared" si="0"/>
        <v>92260.259259259255</v>
      </c>
      <c r="P49" s="7">
        <v>108</v>
      </c>
      <c r="Q49" s="7">
        <v>133</v>
      </c>
      <c r="R49" s="7">
        <f t="shared" si="1"/>
        <v>370888</v>
      </c>
      <c r="S49" s="7">
        <f t="shared" si="2"/>
        <v>463148.25925925927</v>
      </c>
      <c r="T49" s="8">
        <f t="shared" si="3"/>
        <v>0.19920243121892892</v>
      </c>
      <c r="U49" s="5" t="s">
        <v>1306</v>
      </c>
      <c r="V49" s="5" t="s">
        <v>1037</v>
      </c>
      <c r="W49" s="5" t="s">
        <v>609</v>
      </c>
    </row>
    <row r="50" spans="1:23" ht="14.4" x14ac:dyDescent="0.3">
      <c r="A50" s="3">
        <v>49</v>
      </c>
      <c r="B50" s="9" t="s">
        <v>438</v>
      </c>
      <c r="C50" s="9" t="s">
        <v>440</v>
      </c>
      <c r="D50" s="11" t="s">
        <v>31</v>
      </c>
      <c r="E50" s="11" t="s">
        <v>1307</v>
      </c>
      <c r="F50" s="11" t="s">
        <v>1308</v>
      </c>
      <c r="G50" s="12">
        <v>422917</v>
      </c>
      <c r="H50" s="11" t="s">
        <v>1309</v>
      </c>
      <c r="I50" s="11" t="s">
        <v>1310</v>
      </c>
      <c r="J50" s="11" t="s">
        <v>1311</v>
      </c>
      <c r="K50" s="12">
        <v>10750</v>
      </c>
      <c r="L50" s="11" t="s">
        <v>1312</v>
      </c>
      <c r="M50" s="12">
        <v>0</v>
      </c>
      <c r="N50" s="13">
        <v>665936</v>
      </c>
      <c r="O50" s="13">
        <f t="shared" si="0"/>
        <v>24664.296296296296</v>
      </c>
      <c r="P50" s="13">
        <v>15</v>
      </c>
      <c r="Q50" s="13">
        <v>1628</v>
      </c>
      <c r="R50" s="13">
        <f t="shared" si="1"/>
        <v>433667</v>
      </c>
      <c r="S50" s="13">
        <f t="shared" si="2"/>
        <v>458331.29629629629</v>
      </c>
      <c r="T50" s="14">
        <f t="shared" si="3"/>
        <v>5.3813249271006863E-2</v>
      </c>
      <c r="U50" s="11" t="s">
        <v>1313</v>
      </c>
      <c r="V50" s="11" t="s">
        <v>1037</v>
      </c>
      <c r="W50" s="11" t="s">
        <v>448</v>
      </c>
    </row>
    <row r="51" spans="1:23" ht="14.4" x14ac:dyDescent="0.3">
      <c r="A51" s="10">
        <v>50</v>
      </c>
      <c r="B51" s="30" t="s">
        <v>480</v>
      </c>
      <c r="C51" s="30" t="s">
        <v>482</v>
      </c>
      <c r="D51" s="11" t="s">
        <v>31</v>
      </c>
      <c r="E51" s="11" t="s">
        <v>1314</v>
      </c>
      <c r="F51" s="11" t="s">
        <v>1315</v>
      </c>
      <c r="G51" s="12">
        <v>214021</v>
      </c>
      <c r="H51" s="11" t="s">
        <v>1316</v>
      </c>
      <c r="I51" s="11" t="s">
        <v>1317</v>
      </c>
      <c r="J51" s="11" t="s">
        <v>1318</v>
      </c>
      <c r="K51" s="12">
        <v>4367</v>
      </c>
      <c r="L51" s="11" t="s">
        <v>1319</v>
      </c>
      <c r="M51" s="12">
        <v>0</v>
      </c>
      <c r="N51" s="28">
        <f>IFERROR(VLOOKUP(C51,'[1]Colombia Radio'!$C$2:$E$97118,2,0),0)</f>
        <v>0</v>
      </c>
      <c r="O51" s="28">
        <f t="shared" si="0"/>
        <v>0</v>
      </c>
      <c r="P51" s="28">
        <f>IFERROR(VLOOKUP(C51,'[1]Colombia Radio'!$C$2:$E$69000,3,0),0)</f>
        <v>0</v>
      </c>
      <c r="Q51" s="28">
        <f>IFERROR(VLOOKUP(C51,'[1]Colombia Radio'!$C$2:$F$69000,4,0),0)</f>
        <v>0</v>
      </c>
      <c r="R51" s="28">
        <f t="shared" si="1"/>
        <v>218388</v>
      </c>
      <c r="S51" s="28">
        <f t="shared" si="2"/>
        <v>218388</v>
      </c>
      <c r="T51" s="29">
        <f t="shared" si="3"/>
        <v>0</v>
      </c>
      <c r="U51" s="11" t="s">
        <v>1320</v>
      </c>
      <c r="V51" s="11" t="s">
        <v>1037</v>
      </c>
      <c r="W51" s="11" t="s">
        <v>490</v>
      </c>
    </row>
    <row r="52" spans="1:23" ht="14.4" x14ac:dyDescent="0.3">
      <c r="A52" s="3">
        <v>51</v>
      </c>
      <c r="B52" s="30" t="s">
        <v>747</v>
      </c>
      <c r="C52" s="30" t="s">
        <v>749</v>
      </c>
      <c r="D52" s="5" t="s">
        <v>31</v>
      </c>
      <c r="E52" s="5" t="s">
        <v>1321</v>
      </c>
      <c r="F52" s="5" t="s">
        <v>1322</v>
      </c>
      <c r="G52" s="6">
        <v>410628</v>
      </c>
      <c r="H52" s="5" t="s">
        <v>1323</v>
      </c>
      <c r="I52" s="5" t="s">
        <v>31</v>
      </c>
      <c r="J52" s="5" t="s">
        <v>31</v>
      </c>
      <c r="K52" s="6">
        <v>0</v>
      </c>
      <c r="L52" s="5" t="s">
        <v>31</v>
      </c>
      <c r="M52" s="6">
        <v>0</v>
      </c>
      <c r="N52" s="7">
        <v>1226761</v>
      </c>
      <c r="O52" s="7">
        <f t="shared" si="0"/>
        <v>45435.592592592591</v>
      </c>
      <c r="P52" s="7">
        <v>75</v>
      </c>
      <c r="Q52" s="7">
        <v>537</v>
      </c>
      <c r="R52" s="7">
        <f t="shared" si="1"/>
        <v>410628</v>
      </c>
      <c r="S52" s="7">
        <f t="shared" si="2"/>
        <v>456063.59259259258</v>
      </c>
      <c r="T52" s="8">
        <f t="shared" si="3"/>
        <v>9.9625563913804421E-2</v>
      </c>
      <c r="U52" s="5" t="s">
        <v>1324</v>
      </c>
      <c r="V52" s="5" t="s">
        <v>1037</v>
      </c>
      <c r="W52" s="5" t="s">
        <v>754</v>
      </c>
    </row>
    <row r="53" spans="1:23" ht="14.4" x14ac:dyDescent="0.3">
      <c r="A53" s="10">
        <v>52</v>
      </c>
      <c r="B53" s="31" t="s">
        <v>735</v>
      </c>
      <c r="C53" s="31" t="s">
        <v>737</v>
      </c>
      <c r="D53" s="11" t="s">
        <v>31</v>
      </c>
      <c r="E53" s="11" t="s">
        <v>1325</v>
      </c>
      <c r="F53" s="11" t="s">
        <v>1326</v>
      </c>
      <c r="G53" s="12">
        <v>397468</v>
      </c>
      <c r="H53" s="11" t="s">
        <v>1327</v>
      </c>
      <c r="I53" s="11" t="s">
        <v>1328</v>
      </c>
      <c r="J53" s="11" t="s">
        <v>1329</v>
      </c>
      <c r="K53" s="12">
        <v>12292</v>
      </c>
      <c r="L53" s="11" t="s">
        <v>1330</v>
      </c>
      <c r="M53" s="12">
        <v>0</v>
      </c>
      <c r="N53" s="13">
        <v>1116675</v>
      </c>
      <c r="O53" s="13">
        <f t="shared" si="0"/>
        <v>41358.333333333336</v>
      </c>
      <c r="P53" s="13">
        <v>91</v>
      </c>
      <c r="Q53" s="13">
        <v>677</v>
      </c>
      <c r="R53" s="13">
        <f t="shared" si="1"/>
        <v>409760</v>
      </c>
      <c r="S53" s="13">
        <f t="shared" si="2"/>
        <v>451118.33333333331</v>
      </c>
      <c r="T53" s="14">
        <f t="shared" si="3"/>
        <v>9.1679566706444365E-2</v>
      </c>
      <c r="U53" s="11" t="s">
        <v>1331</v>
      </c>
      <c r="V53" s="11" t="s">
        <v>1037</v>
      </c>
      <c r="W53" s="11" t="s">
        <v>745</v>
      </c>
    </row>
    <row r="54" spans="1:23" ht="14.4" x14ac:dyDescent="0.3">
      <c r="A54" s="3">
        <v>53</v>
      </c>
      <c r="B54" s="31" t="s">
        <v>459</v>
      </c>
      <c r="C54" s="31" t="s">
        <v>461</v>
      </c>
      <c r="D54" s="5" t="s">
        <v>31</v>
      </c>
      <c r="E54" s="5" t="s">
        <v>1332</v>
      </c>
      <c r="F54" s="5" t="s">
        <v>1333</v>
      </c>
      <c r="G54" s="6">
        <v>367932</v>
      </c>
      <c r="H54" s="5" t="s">
        <v>1334</v>
      </c>
      <c r="I54" s="5" t="s">
        <v>1335</v>
      </c>
      <c r="J54" s="5" t="s">
        <v>1336</v>
      </c>
      <c r="K54" s="6">
        <v>8409</v>
      </c>
      <c r="L54" s="5" t="s">
        <v>1337</v>
      </c>
      <c r="M54" s="6">
        <v>0</v>
      </c>
      <c r="N54" s="7">
        <v>1945488</v>
      </c>
      <c r="O54" s="7">
        <f t="shared" si="0"/>
        <v>72055.111111111109</v>
      </c>
      <c r="P54" s="7">
        <v>155</v>
      </c>
      <c r="Q54" s="7">
        <v>210</v>
      </c>
      <c r="R54" s="7">
        <f t="shared" si="1"/>
        <v>376341</v>
      </c>
      <c r="S54" s="7">
        <f t="shared" si="2"/>
        <v>448396.11111111112</v>
      </c>
      <c r="T54" s="8">
        <f t="shared" si="3"/>
        <v>0.16069521863729117</v>
      </c>
      <c r="U54" s="5" t="s">
        <v>1338</v>
      </c>
      <c r="V54" s="5" t="s">
        <v>1037</v>
      </c>
      <c r="W54" s="5" t="s">
        <v>469</v>
      </c>
    </row>
    <row r="55" spans="1:23" ht="14.4" x14ac:dyDescent="0.3">
      <c r="A55" s="10">
        <v>54</v>
      </c>
      <c r="B55" s="30" t="s">
        <v>651</v>
      </c>
      <c r="C55" s="30" t="s">
        <v>653</v>
      </c>
      <c r="D55" s="11" t="s">
        <v>31</v>
      </c>
      <c r="E55" s="11" t="s">
        <v>1339</v>
      </c>
      <c r="F55" s="11" t="s">
        <v>1340</v>
      </c>
      <c r="G55" s="12">
        <v>279718</v>
      </c>
      <c r="H55" s="11" t="s">
        <v>1341</v>
      </c>
      <c r="I55" s="11" t="s">
        <v>1342</v>
      </c>
      <c r="J55" s="11" t="s">
        <v>1343</v>
      </c>
      <c r="K55" s="12">
        <v>8680</v>
      </c>
      <c r="L55" s="11" t="s">
        <v>1344</v>
      </c>
      <c r="M55" s="12">
        <v>0</v>
      </c>
      <c r="N55" s="13">
        <v>4278726</v>
      </c>
      <c r="O55" s="13">
        <f t="shared" si="0"/>
        <v>158471.33333333334</v>
      </c>
      <c r="P55" s="13">
        <v>288</v>
      </c>
      <c r="Q55" s="13">
        <v>61</v>
      </c>
      <c r="R55" s="13">
        <f t="shared" si="1"/>
        <v>288398</v>
      </c>
      <c r="S55" s="13">
        <f t="shared" si="2"/>
        <v>446869.33333333337</v>
      </c>
      <c r="T55" s="14">
        <f t="shared" si="3"/>
        <v>0.35462566238602183</v>
      </c>
      <c r="U55" s="11" t="s">
        <v>1345</v>
      </c>
      <c r="V55" s="11" t="s">
        <v>1037</v>
      </c>
      <c r="W55" s="11" t="s">
        <v>660</v>
      </c>
    </row>
    <row r="56" spans="1:23" ht="14.4" x14ac:dyDescent="0.3">
      <c r="A56" s="3">
        <v>55</v>
      </c>
      <c r="B56" s="31" t="s">
        <v>1346</v>
      </c>
      <c r="C56" s="31" t="s">
        <v>1347</v>
      </c>
      <c r="D56" s="5" t="s">
        <v>31</v>
      </c>
      <c r="E56" s="5" t="s">
        <v>1348</v>
      </c>
      <c r="F56" s="5" t="s">
        <v>1349</v>
      </c>
      <c r="G56" s="6">
        <v>441803</v>
      </c>
      <c r="H56" s="5" t="s">
        <v>1350</v>
      </c>
      <c r="I56" s="5" t="s">
        <v>31</v>
      </c>
      <c r="J56" s="5" t="s">
        <v>31</v>
      </c>
      <c r="K56" s="6">
        <v>0</v>
      </c>
      <c r="L56" s="5" t="s">
        <v>31</v>
      </c>
      <c r="M56" s="6">
        <v>0</v>
      </c>
      <c r="N56" s="7">
        <v>0</v>
      </c>
      <c r="O56" s="7">
        <f t="shared" si="0"/>
        <v>0</v>
      </c>
      <c r="P56" s="7">
        <v>0</v>
      </c>
      <c r="Q56" s="7">
        <v>0</v>
      </c>
      <c r="R56" s="7">
        <f t="shared" si="1"/>
        <v>441803</v>
      </c>
      <c r="S56" s="7">
        <f t="shared" si="2"/>
        <v>441803</v>
      </c>
      <c r="T56" s="8">
        <f t="shared" si="3"/>
        <v>0</v>
      </c>
      <c r="U56" s="5" t="s">
        <v>1351</v>
      </c>
      <c r="V56" s="5" t="s">
        <v>1037</v>
      </c>
      <c r="W56" s="5"/>
    </row>
    <row r="57" spans="1:23" ht="14.4" x14ac:dyDescent="0.3">
      <c r="A57" s="10">
        <v>56</v>
      </c>
      <c r="B57" s="30" t="s">
        <v>557</v>
      </c>
      <c r="C57" s="30" t="s">
        <v>559</v>
      </c>
      <c r="D57" s="11" t="s">
        <v>31</v>
      </c>
      <c r="E57" s="11" t="s">
        <v>1352</v>
      </c>
      <c r="F57" s="11" t="s">
        <v>1353</v>
      </c>
      <c r="G57" s="12">
        <v>312873</v>
      </c>
      <c r="H57" s="11" t="s">
        <v>1354</v>
      </c>
      <c r="I57" s="11" t="s">
        <v>1355</v>
      </c>
      <c r="J57" s="11" t="s">
        <v>1356</v>
      </c>
      <c r="K57" s="12">
        <v>6503</v>
      </c>
      <c r="L57" s="11" t="s">
        <v>1357</v>
      </c>
      <c r="M57" s="12">
        <v>0</v>
      </c>
      <c r="N57" s="13">
        <v>2975507</v>
      </c>
      <c r="O57" s="13">
        <f t="shared" si="0"/>
        <v>110203.96296296296</v>
      </c>
      <c r="P57" s="13">
        <v>108</v>
      </c>
      <c r="Q57" s="13">
        <v>99</v>
      </c>
      <c r="R57" s="13">
        <f t="shared" si="1"/>
        <v>319376</v>
      </c>
      <c r="S57" s="13">
        <f t="shared" si="2"/>
        <v>429579.96296296298</v>
      </c>
      <c r="T57" s="14">
        <f t="shared" si="3"/>
        <v>0.25653888091718191</v>
      </c>
      <c r="U57" s="11" t="s">
        <v>1358</v>
      </c>
      <c r="V57" s="11" t="s">
        <v>1037</v>
      </c>
      <c r="W57" s="11" t="s">
        <v>567</v>
      </c>
    </row>
    <row r="58" spans="1:23" ht="14.4" x14ac:dyDescent="0.3">
      <c r="A58" s="3">
        <v>57</v>
      </c>
      <c r="B58" s="30" t="s">
        <v>450</v>
      </c>
      <c r="C58" s="30" t="s">
        <v>452</v>
      </c>
      <c r="D58" s="5" t="s">
        <v>31</v>
      </c>
      <c r="E58" s="5" t="s">
        <v>1359</v>
      </c>
      <c r="F58" s="5" t="s">
        <v>1360</v>
      </c>
      <c r="G58" s="6">
        <v>329747</v>
      </c>
      <c r="H58" s="5" t="s">
        <v>1361</v>
      </c>
      <c r="I58" s="5" t="s">
        <v>31</v>
      </c>
      <c r="J58" s="5" t="s">
        <v>31</v>
      </c>
      <c r="K58" s="6">
        <v>0</v>
      </c>
      <c r="L58" s="5" t="s">
        <v>31</v>
      </c>
      <c r="M58" s="6">
        <v>0</v>
      </c>
      <c r="N58" s="7">
        <v>2564497</v>
      </c>
      <c r="O58" s="7">
        <f t="shared" si="0"/>
        <v>94981.370370370365</v>
      </c>
      <c r="P58" s="7">
        <v>143</v>
      </c>
      <c r="Q58" s="7">
        <v>119</v>
      </c>
      <c r="R58" s="7">
        <f t="shared" si="1"/>
        <v>329747</v>
      </c>
      <c r="S58" s="7">
        <f t="shared" si="2"/>
        <v>424728.37037037034</v>
      </c>
      <c r="T58" s="8">
        <f t="shared" si="3"/>
        <v>0.2236285047018286</v>
      </c>
      <c r="U58" s="5" t="s">
        <v>1362</v>
      </c>
      <c r="V58" s="5" t="s">
        <v>1037</v>
      </c>
      <c r="W58" s="5" t="s">
        <v>457</v>
      </c>
    </row>
    <row r="59" spans="1:23" ht="14.4" x14ac:dyDescent="0.3">
      <c r="A59" s="10">
        <v>58</v>
      </c>
      <c r="B59" s="30" t="s">
        <v>179</v>
      </c>
      <c r="C59" s="30" t="s">
        <v>577</v>
      </c>
      <c r="D59" s="11" t="s">
        <v>31</v>
      </c>
      <c r="E59" s="11" t="s">
        <v>1363</v>
      </c>
      <c r="F59" s="11" t="s">
        <v>1364</v>
      </c>
      <c r="G59" s="12">
        <v>142442</v>
      </c>
      <c r="H59" s="11" t="s">
        <v>1365</v>
      </c>
      <c r="I59" s="11" t="s">
        <v>31</v>
      </c>
      <c r="J59" s="11" t="s">
        <v>31</v>
      </c>
      <c r="K59" s="12">
        <v>0</v>
      </c>
      <c r="L59" s="11" t="s">
        <v>31</v>
      </c>
      <c r="M59" s="12">
        <v>0</v>
      </c>
      <c r="N59" s="28">
        <v>0</v>
      </c>
      <c r="O59" s="28">
        <f t="shared" si="0"/>
        <v>0</v>
      </c>
      <c r="P59" s="28">
        <v>0</v>
      </c>
      <c r="Q59" s="28">
        <v>0</v>
      </c>
      <c r="R59" s="28">
        <f t="shared" si="1"/>
        <v>142442</v>
      </c>
      <c r="S59" s="28">
        <f t="shared" si="2"/>
        <v>142442</v>
      </c>
      <c r="T59" s="29">
        <f t="shared" si="3"/>
        <v>0</v>
      </c>
      <c r="U59" s="11" t="s">
        <v>1366</v>
      </c>
      <c r="V59" s="11" t="s">
        <v>1037</v>
      </c>
      <c r="W59" s="11"/>
    </row>
    <row r="60" spans="1:23" ht="14.4" x14ac:dyDescent="0.3">
      <c r="A60" s="3">
        <v>59</v>
      </c>
      <c r="B60" s="30" t="s">
        <v>590</v>
      </c>
      <c r="C60" s="30" t="s">
        <v>592</v>
      </c>
      <c r="D60" s="11" t="s">
        <v>31</v>
      </c>
      <c r="E60" s="11" t="s">
        <v>1367</v>
      </c>
      <c r="F60" s="11" t="s">
        <v>1368</v>
      </c>
      <c r="G60" s="12">
        <v>272626</v>
      </c>
      <c r="H60" s="11" t="s">
        <v>1369</v>
      </c>
      <c r="I60" s="11" t="s">
        <v>31</v>
      </c>
      <c r="J60" s="11" t="s">
        <v>31</v>
      </c>
      <c r="K60" s="12">
        <v>0</v>
      </c>
      <c r="L60" s="11" t="s">
        <v>31</v>
      </c>
      <c r="M60" s="12">
        <v>0</v>
      </c>
      <c r="N60" s="28">
        <v>0</v>
      </c>
      <c r="O60" s="28">
        <f t="shared" si="0"/>
        <v>0</v>
      </c>
      <c r="P60" s="28">
        <v>0</v>
      </c>
      <c r="Q60" s="28">
        <v>0</v>
      </c>
      <c r="R60" s="28">
        <f t="shared" si="1"/>
        <v>272626</v>
      </c>
      <c r="S60" s="28">
        <f t="shared" si="2"/>
        <v>272626</v>
      </c>
      <c r="T60" s="29">
        <f t="shared" si="3"/>
        <v>0</v>
      </c>
      <c r="U60" s="11" t="s">
        <v>1370</v>
      </c>
      <c r="V60" s="11" t="s">
        <v>1037</v>
      </c>
      <c r="W60" s="11" t="s">
        <v>597</v>
      </c>
    </row>
    <row r="61" spans="1:23" ht="14.4" x14ac:dyDescent="0.3">
      <c r="A61" s="10">
        <v>60</v>
      </c>
      <c r="B61" s="31" t="s">
        <v>337</v>
      </c>
      <c r="C61" s="31" t="s">
        <v>663</v>
      </c>
      <c r="D61" s="11" t="s">
        <v>31</v>
      </c>
      <c r="E61" s="11" t="s">
        <v>1371</v>
      </c>
      <c r="F61" s="11" t="s">
        <v>1372</v>
      </c>
      <c r="G61" s="12">
        <v>373332</v>
      </c>
      <c r="H61" s="11" t="s">
        <v>1373</v>
      </c>
      <c r="I61" s="11" t="s">
        <v>1374</v>
      </c>
      <c r="J61" s="11" t="s">
        <v>1375</v>
      </c>
      <c r="K61" s="12">
        <v>7163</v>
      </c>
      <c r="L61" s="11" t="s">
        <v>1376</v>
      </c>
      <c r="M61" s="12">
        <v>0</v>
      </c>
      <c r="N61" s="13">
        <v>1138687</v>
      </c>
      <c r="O61" s="13">
        <f t="shared" si="0"/>
        <v>42173.592592592591</v>
      </c>
      <c r="P61" s="13">
        <v>69</v>
      </c>
      <c r="Q61" s="13">
        <v>645</v>
      </c>
      <c r="R61" s="13">
        <f t="shared" si="1"/>
        <v>380495</v>
      </c>
      <c r="S61" s="13">
        <f t="shared" si="2"/>
        <v>422668.59259259258</v>
      </c>
      <c r="T61" s="14">
        <f t="shared" si="3"/>
        <v>9.9779338544899718E-2</v>
      </c>
      <c r="U61" s="11" t="s">
        <v>1377</v>
      </c>
      <c r="V61" s="11" t="s">
        <v>1037</v>
      </c>
      <c r="W61" s="11" t="s">
        <v>671</v>
      </c>
    </row>
    <row r="62" spans="1:23" ht="14.4" x14ac:dyDescent="0.3">
      <c r="A62" s="3">
        <v>61</v>
      </c>
      <c r="B62" s="30" t="s">
        <v>620</v>
      </c>
      <c r="C62" s="30" t="s">
        <v>622</v>
      </c>
      <c r="D62" s="11" t="s">
        <v>31</v>
      </c>
      <c r="E62" s="11" t="s">
        <v>1378</v>
      </c>
      <c r="F62" s="11" t="s">
        <v>1379</v>
      </c>
      <c r="G62" s="12">
        <v>217134</v>
      </c>
      <c r="H62" s="11" t="s">
        <v>1380</v>
      </c>
      <c r="I62" s="11" t="s">
        <v>1381</v>
      </c>
      <c r="J62" s="11" t="s">
        <v>1382</v>
      </c>
      <c r="K62" s="12">
        <v>5914</v>
      </c>
      <c r="L62" s="11" t="s">
        <v>1383</v>
      </c>
      <c r="M62" s="12">
        <v>0</v>
      </c>
      <c r="N62" s="28">
        <f>IFERROR(VLOOKUP(C62,'[1]Colombia Radio'!$C$2:$E$97118,2,0),0)</f>
        <v>0</v>
      </c>
      <c r="O62" s="28">
        <f t="shared" si="0"/>
        <v>0</v>
      </c>
      <c r="P62" s="28">
        <f>IFERROR(VLOOKUP(C62,'[1]Colombia Radio'!$C$2:$E$69000,3,0),0)</f>
        <v>0</v>
      </c>
      <c r="Q62" s="28">
        <f>IFERROR(VLOOKUP(C62,'[1]Colombia Radio'!$C$2:$F$69000,4,0),0)</f>
        <v>0</v>
      </c>
      <c r="R62" s="28">
        <f t="shared" si="1"/>
        <v>223048</v>
      </c>
      <c r="S62" s="28">
        <f t="shared" si="2"/>
        <v>223048</v>
      </c>
      <c r="T62" s="29">
        <f t="shared" si="3"/>
        <v>0</v>
      </c>
      <c r="U62" s="11" t="s">
        <v>1384</v>
      </c>
      <c r="V62" s="11" t="s">
        <v>1037</v>
      </c>
      <c r="W62" s="11" t="s">
        <v>630</v>
      </c>
    </row>
    <row r="63" spans="1:23" ht="14.4" x14ac:dyDescent="0.3">
      <c r="A63" s="10">
        <v>62</v>
      </c>
      <c r="B63" s="30" t="s">
        <v>190</v>
      </c>
      <c r="C63" s="30" t="s">
        <v>569</v>
      </c>
      <c r="D63" s="5" t="s">
        <v>31</v>
      </c>
      <c r="E63" s="5" t="s">
        <v>1385</v>
      </c>
      <c r="F63" s="5" t="s">
        <v>1386</v>
      </c>
      <c r="G63" s="6">
        <v>411342</v>
      </c>
      <c r="H63" s="5" t="s">
        <v>1387</v>
      </c>
      <c r="I63" s="5" t="s">
        <v>31</v>
      </c>
      <c r="J63" s="5" t="s">
        <v>31</v>
      </c>
      <c r="K63" s="6">
        <v>0</v>
      </c>
      <c r="L63" s="5" t="s">
        <v>31</v>
      </c>
      <c r="M63" s="6">
        <v>0</v>
      </c>
      <c r="N63" s="7">
        <v>0</v>
      </c>
      <c r="O63" s="7">
        <f t="shared" si="0"/>
        <v>0</v>
      </c>
      <c r="P63" s="7">
        <v>0</v>
      </c>
      <c r="Q63" s="7">
        <v>0</v>
      </c>
      <c r="R63" s="7">
        <f t="shared" si="1"/>
        <v>411342</v>
      </c>
      <c r="S63" s="7">
        <f t="shared" si="2"/>
        <v>411342</v>
      </c>
      <c r="T63" s="8">
        <f t="shared" si="3"/>
        <v>0</v>
      </c>
      <c r="U63" s="5" t="s">
        <v>1388</v>
      </c>
      <c r="V63" s="5" t="s">
        <v>1037</v>
      </c>
      <c r="W63" s="5" t="s">
        <v>574</v>
      </c>
    </row>
    <row r="64" spans="1:23" ht="14.4" x14ac:dyDescent="0.3">
      <c r="A64" s="3">
        <v>63</v>
      </c>
      <c r="B64" s="30" t="s">
        <v>765</v>
      </c>
      <c r="C64" s="30" t="s">
        <v>766</v>
      </c>
      <c r="D64" s="11" t="s">
        <v>31</v>
      </c>
      <c r="E64" s="11" t="s">
        <v>1389</v>
      </c>
      <c r="F64" s="11" t="s">
        <v>1390</v>
      </c>
      <c r="G64" s="12">
        <v>309048</v>
      </c>
      <c r="H64" s="11" t="s">
        <v>1391</v>
      </c>
      <c r="I64" s="11" t="s">
        <v>31</v>
      </c>
      <c r="J64" s="11" t="s">
        <v>31</v>
      </c>
      <c r="K64" s="12">
        <v>0</v>
      </c>
      <c r="L64" s="11" t="s">
        <v>31</v>
      </c>
      <c r="M64" s="12">
        <v>0</v>
      </c>
      <c r="N64" s="13">
        <v>2756479</v>
      </c>
      <c r="O64" s="13">
        <f t="shared" si="0"/>
        <v>102091.81481481482</v>
      </c>
      <c r="P64" s="13">
        <v>130</v>
      </c>
      <c r="Q64" s="13">
        <v>111</v>
      </c>
      <c r="R64" s="13">
        <f t="shared" si="1"/>
        <v>309048</v>
      </c>
      <c r="S64" s="13">
        <f t="shared" si="2"/>
        <v>411139.81481481483</v>
      </c>
      <c r="T64" s="14">
        <f t="shared" si="3"/>
        <v>0.24831410419542779</v>
      </c>
      <c r="U64" s="11" t="s">
        <v>1392</v>
      </c>
      <c r="V64" s="11" t="s">
        <v>1037</v>
      </c>
      <c r="W64" s="11" t="s">
        <v>771</v>
      </c>
    </row>
    <row r="65" spans="1:23" ht="14.4" x14ac:dyDescent="0.3">
      <c r="A65" s="10">
        <v>64</v>
      </c>
      <c r="B65" s="30" t="s">
        <v>283</v>
      </c>
      <c r="C65" s="30" t="s">
        <v>583</v>
      </c>
      <c r="D65" s="5" t="s">
        <v>31</v>
      </c>
      <c r="E65" s="5" t="s">
        <v>1393</v>
      </c>
      <c r="F65" s="5" t="s">
        <v>1394</v>
      </c>
      <c r="G65" s="6">
        <v>317152</v>
      </c>
      <c r="H65" s="5" t="s">
        <v>1395</v>
      </c>
      <c r="I65" s="5" t="s">
        <v>31</v>
      </c>
      <c r="J65" s="5" t="s">
        <v>31</v>
      </c>
      <c r="K65" s="6">
        <v>0</v>
      </c>
      <c r="L65" s="5" t="s">
        <v>31</v>
      </c>
      <c r="M65" s="6">
        <v>0</v>
      </c>
      <c r="N65" s="7">
        <v>2486019</v>
      </c>
      <c r="O65" s="7">
        <f t="shared" si="0"/>
        <v>92074.777777777781</v>
      </c>
      <c r="P65" s="7">
        <v>191</v>
      </c>
      <c r="Q65" s="7">
        <v>134</v>
      </c>
      <c r="R65" s="7">
        <f t="shared" si="1"/>
        <v>317152</v>
      </c>
      <c r="S65" s="7">
        <f t="shared" si="2"/>
        <v>409226.77777777775</v>
      </c>
      <c r="T65" s="8">
        <f t="shared" si="3"/>
        <v>0.22499695224679825</v>
      </c>
      <c r="U65" s="5" t="s">
        <v>1396</v>
      </c>
      <c r="V65" s="5" t="s">
        <v>1037</v>
      </c>
      <c r="W65" s="5" t="s">
        <v>588</v>
      </c>
    </row>
    <row r="66" spans="1:23" ht="14.4" x14ac:dyDescent="0.3">
      <c r="A66" s="3">
        <v>65</v>
      </c>
      <c r="B66" s="30" t="s">
        <v>611</v>
      </c>
      <c r="C66" s="30" t="s">
        <v>613</v>
      </c>
      <c r="D66" s="11" t="s">
        <v>31</v>
      </c>
      <c r="E66" s="11" t="s">
        <v>1397</v>
      </c>
      <c r="F66" s="11" t="s">
        <v>1398</v>
      </c>
      <c r="G66" s="12">
        <v>405546</v>
      </c>
      <c r="H66" s="11" t="s">
        <v>1399</v>
      </c>
      <c r="I66" s="11" t="s">
        <v>31</v>
      </c>
      <c r="J66" s="11" t="s">
        <v>31</v>
      </c>
      <c r="K66" s="12">
        <v>0</v>
      </c>
      <c r="L66" s="11" t="s">
        <v>31</v>
      </c>
      <c r="M66" s="12">
        <v>0</v>
      </c>
      <c r="N66" s="13">
        <v>0</v>
      </c>
      <c r="O66" s="13">
        <f t="shared" si="0"/>
        <v>0</v>
      </c>
      <c r="P66" s="13">
        <v>0</v>
      </c>
      <c r="Q66" s="13">
        <v>0</v>
      </c>
      <c r="R66" s="13">
        <f t="shared" si="1"/>
        <v>405546</v>
      </c>
      <c r="S66" s="13">
        <f t="shared" si="2"/>
        <v>405546</v>
      </c>
      <c r="T66" s="14">
        <f t="shared" si="3"/>
        <v>0</v>
      </c>
      <c r="U66" s="11" t="s">
        <v>1400</v>
      </c>
      <c r="V66" s="11" t="s">
        <v>1037</v>
      </c>
      <c r="W66" s="11" t="s">
        <v>618</v>
      </c>
    </row>
    <row r="67" spans="1:23" ht="14.4" x14ac:dyDescent="0.3">
      <c r="A67" s="10">
        <v>66</v>
      </c>
      <c r="B67" s="30" t="s">
        <v>514</v>
      </c>
      <c r="C67" s="30" t="s">
        <v>632</v>
      </c>
      <c r="D67" s="5" t="s">
        <v>31</v>
      </c>
      <c r="E67" s="5" t="s">
        <v>1401</v>
      </c>
      <c r="F67" s="5" t="s">
        <v>1402</v>
      </c>
      <c r="G67" s="6">
        <v>342287</v>
      </c>
      <c r="H67" s="5" t="s">
        <v>1403</v>
      </c>
      <c r="I67" s="5" t="s">
        <v>31</v>
      </c>
      <c r="J67" s="5" t="s">
        <v>1186</v>
      </c>
      <c r="K67" s="6">
        <v>2</v>
      </c>
      <c r="L67" s="5" t="s">
        <v>1186</v>
      </c>
      <c r="M67" s="6">
        <v>0</v>
      </c>
      <c r="N67" s="7">
        <v>1587346</v>
      </c>
      <c r="O67" s="7">
        <f t="shared" si="0"/>
        <v>58790.592592592591</v>
      </c>
      <c r="P67" s="7">
        <v>59</v>
      </c>
      <c r="Q67" s="7">
        <v>308</v>
      </c>
      <c r="R67" s="7">
        <f t="shared" si="1"/>
        <v>342289</v>
      </c>
      <c r="S67" s="7">
        <f t="shared" si="2"/>
        <v>401079.59259259258</v>
      </c>
      <c r="T67" s="8">
        <f t="shared" si="3"/>
        <v>0.14658086244819421</v>
      </c>
      <c r="U67" s="5" t="s">
        <v>1404</v>
      </c>
      <c r="V67" s="5" t="s">
        <v>1037</v>
      </c>
      <c r="W67" s="5" t="s">
        <v>637</v>
      </c>
    </row>
    <row r="68" spans="1:23" ht="14.4" x14ac:dyDescent="0.3">
      <c r="A68" s="3">
        <v>67</v>
      </c>
      <c r="B68" s="30" t="s">
        <v>800</v>
      </c>
      <c r="C68" s="30" t="s">
        <v>855</v>
      </c>
      <c r="D68" s="11" t="s">
        <v>31</v>
      </c>
      <c r="E68" s="11" t="s">
        <v>1405</v>
      </c>
      <c r="F68" s="11" t="s">
        <v>1406</v>
      </c>
      <c r="G68" s="12">
        <v>368906</v>
      </c>
      <c r="H68" s="11" t="s">
        <v>1407</v>
      </c>
      <c r="I68" s="11" t="s">
        <v>31</v>
      </c>
      <c r="J68" s="11" t="s">
        <v>31</v>
      </c>
      <c r="K68" s="12">
        <v>0</v>
      </c>
      <c r="L68" s="11" t="s">
        <v>31</v>
      </c>
      <c r="M68" s="12">
        <v>0</v>
      </c>
      <c r="N68" s="13">
        <v>782933</v>
      </c>
      <c r="O68" s="13">
        <f t="shared" si="0"/>
        <v>28997.518518518518</v>
      </c>
      <c r="P68" s="13">
        <v>18</v>
      </c>
      <c r="Q68" s="13">
        <v>1292</v>
      </c>
      <c r="R68" s="13">
        <f t="shared" si="1"/>
        <v>368906</v>
      </c>
      <c r="S68" s="13">
        <f t="shared" si="2"/>
        <v>397903.51851851854</v>
      </c>
      <c r="T68" s="14">
        <f t="shared" si="3"/>
        <v>7.2875752962634252E-2</v>
      </c>
      <c r="U68" s="11" t="s">
        <v>1408</v>
      </c>
      <c r="V68" s="11" t="s">
        <v>1037</v>
      </c>
      <c r="W68" s="11" t="s">
        <v>860</v>
      </c>
    </row>
    <row r="69" spans="1:23" ht="14.4" x14ac:dyDescent="0.3">
      <c r="A69" s="10">
        <v>68</v>
      </c>
      <c r="B69" s="30" t="s">
        <v>694</v>
      </c>
      <c r="C69" s="30" t="s">
        <v>696</v>
      </c>
      <c r="D69" s="11" t="s">
        <v>31</v>
      </c>
      <c r="E69" s="11" t="s">
        <v>1409</v>
      </c>
      <c r="F69" s="11" t="s">
        <v>1410</v>
      </c>
      <c r="G69" s="12">
        <v>253220</v>
      </c>
      <c r="H69" s="11" t="s">
        <v>1411</v>
      </c>
      <c r="I69" s="11" t="s">
        <v>945</v>
      </c>
      <c r="J69" s="11" t="s">
        <v>1412</v>
      </c>
      <c r="K69" s="12">
        <v>5338</v>
      </c>
      <c r="L69" s="11" t="s">
        <v>1413</v>
      </c>
      <c r="M69" s="12">
        <v>0</v>
      </c>
      <c r="N69" s="28">
        <f>IFERROR(VLOOKUP(C69,'[1]Colombia Radio'!$C$2:$E$97118,2,0),0)</f>
        <v>0</v>
      </c>
      <c r="O69" s="28">
        <f t="shared" si="0"/>
        <v>0</v>
      </c>
      <c r="P69" s="28">
        <f>IFERROR(VLOOKUP(C69,'[1]Colombia Radio'!$C$2:$E$69000,3,0),0)</f>
        <v>0</v>
      </c>
      <c r="Q69" s="28">
        <f>IFERROR(VLOOKUP(C69,'[1]Colombia Radio'!$C$2:$F$69000,4,0),0)</f>
        <v>0</v>
      </c>
      <c r="R69" s="28">
        <f t="shared" si="1"/>
        <v>258558</v>
      </c>
      <c r="S69" s="28">
        <f t="shared" si="2"/>
        <v>258558</v>
      </c>
      <c r="T69" s="29">
        <f t="shared" si="3"/>
        <v>0</v>
      </c>
      <c r="U69" s="11" t="s">
        <v>1414</v>
      </c>
      <c r="V69" s="11" t="s">
        <v>1037</v>
      </c>
      <c r="W69" s="11"/>
    </row>
    <row r="70" spans="1:23" ht="14.4" x14ac:dyDescent="0.3">
      <c r="A70" s="3">
        <v>69</v>
      </c>
      <c r="B70" s="30" t="s">
        <v>673</v>
      </c>
      <c r="C70" s="30" t="s">
        <v>675</v>
      </c>
      <c r="D70" s="5" t="s">
        <v>31</v>
      </c>
      <c r="E70" s="5" t="s">
        <v>1415</v>
      </c>
      <c r="F70" s="5" t="s">
        <v>1416</v>
      </c>
      <c r="G70" s="6">
        <v>332924</v>
      </c>
      <c r="H70" s="5" t="s">
        <v>1417</v>
      </c>
      <c r="I70" s="5" t="s">
        <v>1418</v>
      </c>
      <c r="J70" s="5" t="s">
        <v>1419</v>
      </c>
      <c r="K70" s="6">
        <v>7968</v>
      </c>
      <c r="L70" s="5" t="s">
        <v>1420</v>
      </c>
      <c r="M70" s="6">
        <v>0</v>
      </c>
      <c r="N70" s="7">
        <v>1055637</v>
      </c>
      <c r="O70" s="7">
        <f t="shared" si="0"/>
        <v>39097.666666666664</v>
      </c>
      <c r="P70" s="7">
        <v>50</v>
      </c>
      <c r="Q70" s="7">
        <v>756</v>
      </c>
      <c r="R70" s="7">
        <f t="shared" si="1"/>
        <v>340892</v>
      </c>
      <c r="S70" s="7">
        <f t="shared" si="2"/>
        <v>379989.66666666669</v>
      </c>
      <c r="T70" s="8">
        <f t="shared" si="3"/>
        <v>0.10289139441511128</v>
      </c>
      <c r="U70" s="5" t="s">
        <v>1421</v>
      </c>
      <c r="V70" s="5" t="s">
        <v>1037</v>
      </c>
      <c r="W70" s="5" t="s">
        <v>682</v>
      </c>
    </row>
    <row r="71" spans="1:23" ht="14.4" x14ac:dyDescent="0.3">
      <c r="A71" s="10">
        <v>70</v>
      </c>
      <c r="B71" s="30" t="s">
        <v>871</v>
      </c>
      <c r="C71" s="30" t="s">
        <v>873</v>
      </c>
      <c r="D71" s="5" t="s">
        <v>31</v>
      </c>
      <c r="E71" s="5" t="s">
        <v>1422</v>
      </c>
      <c r="F71" s="5" t="s">
        <v>1423</v>
      </c>
      <c r="G71" s="6">
        <v>230651</v>
      </c>
      <c r="H71" s="5" t="s">
        <v>1424</v>
      </c>
      <c r="I71" s="5" t="s">
        <v>1425</v>
      </c>
      <c r="J71" s="5" t="s">
        <v>1426</v>
      </c>
      <c r="K71" s="6">
        <v>5187</v>
      </c>
      <c r="L71" s="5" t="s">
        <v>1427</v>
      </c>
      <c r="M71" s="6">
        <v>0</v>
      </c>
      <c r="N71" s="28">
        <v>0</v>
      </c>
      <c r="O71" s="28">
        <f t="shared" si="0"/>
        <v>0</v>
      </c>
      <c r="P71" s="28">
        <v>0</v>
      </c>
      <c r="Q71" s="28">
        <v>0</v>
      </c>
      <c r="R71" s="28">
        <f t="shared" si="1"/>
        <v>235838</v>
      </c>
      <c r="S71" s="28">
        <f t="shared" si="2"/>
        <v>235838</v>
      </c>
      <c r="T71" s="29">
        <f t="shared" si="3"/>
        <v>0</v>
      </c>
      <c r="U71" s="5" t="s">
        <v>1428</v>
      </c>
      <c r="V71" s="5" t="s">
        <v>1037</v>
      </c>
      <c r="W71" s="5" t="s">
        <v>881</v>
      </c>
    </row>
    <row r="72" spans="1:23" ht="14.4" x14ac:dyDescent="0.3">
      <c r="A72" s="3">
        <v>71</v>
      </c>
      <c r="B72" s="30" t="s">
        <v>862</v>
      </c>
      <c r="C72" s="30" t="s">
        <v>864</v>
      </c>
      <c r="D72" s="5" t="s">
        <v>31</v>
      </c>
      <c r="E72" s="5" t="s">
        <v>1429</v>
      </c>
      <c r="F72" s="5" t="s">
        <v>1430</v>
      </c>
      <c r="G72" s="6">
        <v>249828</v>
      </c>
      <c r="H72" s="5" t="s">
        <v>1431</v>
      </c>
      <c r="I72" s="5" t="s">
        <v>31</v>
      </c>
      <c r="J72" s="5" t="s">
        <v>31</v>
      </c>
      <c r="K72" s="6">
        <v>0</v>
      </c>
      <c r="L72" s="5" t="s">
        <v>31</v>
      </c>
      <c r="M72" s="6">
        <v>0</v>
      </c>
      <c r="N72" s="28">
        <v>0</v>
      </c>
      <c r="O72" s="28">
        <f t="shared" si="0"/>
        <v>0</v>
      </c>
      <c r="P72" s="28">
        <v>0</v>
      </c>
      <c r="Q72" s="28">
        <v>0</v>
      </c>
      <c r="R72" s="28">
        <f t="shared" si="1"/>
        <v>249828</v>
      </c>
      <c r="S72" s="28">
        <f t="shared" si="2"/>
        <v>249828</v>
      </c>
      <c r="T72" s="29">
        <f t="shared" si="3"/>
        <v>0</v>
      </c>
      <c r="U72" s="5" t="s">
        <v>1432</v>
      </c>
      <c r="V72" s="5" t="s">
        <v>1037</v>
      </c>
      <c r="W72" s="5" t="s">
        <v>869</v>
      </c>
    </row>
    <row r="73" spans="1:23" ht="14.4" x14ac:dyDescent="0.3">
      <c r="A73" s="10">
        <v>72</v>
      </c>
      <c r="B73" s="31" t="s">
        <v>283</v>
      </c>
      <c r="C73" s="31" t="s">
        <v>821</v>
      </c>
      <c r="D73" s="5" t="s">
        <v>31</v>
      </c>
      <c r="E73" s="5" t="s">
        <v>1433</v>
      </c>
      <c r="F73" s="5" t="s">
        <v>1434</v>
      </c>
      <c r="G73" s="6">
        <v>248263</v>
      </c>
      <c r="H73" s="5" t="s">
        <v>1435</v>
      </c>
      <c r="I73" s="5" t="s">
        <v>1436</v>
      </c>
      <c r="J73" s="5" t="s">
        <v>1437</v>
      </c>
      <c r="K73" s="6">
        <v>4645</v>
      </c>
      <c r="L73" s="5" t="s">
        <v>1438</v>
      </c>
      <c r="M73" s="6">
        <v>0</v>
      </c>
      <c r="N73" s="28">
        <v>0</v>
      </c>
      <c r="O73" s="28">
        <f t="shared" si="0"/>
        <v>0</v>
      </c>
      <c r="P73" s="28">
        <v>0</v>
      </c>
      <c r="Q73" s="28">
        <v>0</v>
      </c>
      <c r="R73" s="28">
        <f t="shared" si="1"/>
        <v>252908</v>
      </c>
      <c r="S73" s="28">
        <f t="shared" si="2"/>
        <v>252908</v>
      </c>
      <c r="T73" s="29">
        <f t="shared" si="3"/>
        <v>0</v>
      </c>
      <c r="U73" s="5" t="s">
        <v>1439</v>
      </c>
      <c r="V73" s="5" t="s">
        <v>1037</v>
      </c>
      <c r="W73" s="5" t="s">
        <v>829</v>
      </c>
    </row>
    <row r="74" spans="1:23" ht="14.4" x14ac:dyDescent="0.3">
      <c r="A74" s="3">
        <v>73</v>
      </c>
      <c r="B74" s="31" t="s">
        <v>831</v>
      </c>
      <c r="C74" s="31" t="s">
        <v>833</v>
      </c>
      <c r="D74" s="11" t="s">
        <v>31</v>
      </c>
      <c r="E74" s="11" t="s">
        <v>1440</v>
      </c>
      <c r="F74" s="11" t="s">
        <v>1441</v>
      </c>
      <c r="G74" s="12">
        <v>311452</v>
      </c>
      <c r="H74" s="11" t="s">
        <v>1442</v>
      </c>
      <c r="I74" s="11" t="s">
        <v>1443</v>
      </c>
      <c r="J74" s="11" t="s">
        <v>1444</v>
      </c>
      <c r="K74" s="12">
        <v>8450</v>
      </c>
      <c r="L74" s="11" t="s">
        <v>1445</v>
      </c>
      <c r="M74" s="12">
        <v>0</v>
      </c>
      <c r="N74" s="13">
        <v>1419821</v>
      </c>
      <c r="O74" s="13">
        <f t="shared" si="0"/>
        <v>52585.962962962964</v>
      </c>
      <c r="P74" s="13">
        <v>68</v>
      </c>
      <c r="Q74" s="13">
        <v>391</v>
      </c>
      <c r="R74" s="13">
        <f t="shared" si="1"/>
        <v>319902</v>
      </c>
      <c r="S74" s="13">
        <f t="shared" si="2"/>
        <v>372487.96296296298</v>
      </c>
      <c r="T74" s="14">
        <f t="shared" si="3"/>
        <v>0.14117493232443504</v>
      </c>
      <c r="U74" s="11" t="s">
        <v>1446</v>
      </c>
      <c r="V74" s="11" t="s">
        <v>1037</v>
      </c>
      <c r="W74" s="11" t="s">
        <v>841</v>
      </c>
    </row>
    <row r="75" spans="1:23" ht="14.4" x14ac:dyDescent="0.3">
      <c r="A75" s="10">
        <v>74</v>
      </c>
      <c r="B75" s="31" t="s">
        <v>360</v>
      </c>
      <c r="C75" s="31" t="s">
        <v>790</v>
      </c>
      <c r="D75" s="5" t="s">
        <v>31</v>
      </c>
      <c r="E75" s="5" t="s">
        <v>1447</v>
      </c>
      <c r="F75" s="5" t="s">
        <v>1448</v>
      </c>
      <c r="G75" s="6">
        <v>194103</v>
      </c>
      <c r="H75" s="5" t="s">
        <v>1449</v>
      </c>
      <c r="I75" s="5" t="s">
        <v>1450</v>
      </c>
      <c r="J75" s="5" t="s">
        <v>1451</v>
      </c>
      <c r="K75" s="6">
        <v>75</v>
      </c>
      <c r="L75" s="5" t="s">
        <v>1452</v>
      </c>
      <c r="M75" s="6">
        <v>0</v>
      </c>
      <c r="N75" s="28">
        <f>IFERROR(VLOOKUP(C75,'[1]Colombia Radio'!$C$2:$E$97118,2,0),0)</f>
        <v>0</v>
      </c>
      <c r="O75" s="28">
        <f t="shared" si="0"/>
        <v>0</v>
      </c>
      <c r="P75" s="28">
        <f>IFERROR(VLOOKUP(C75,'[1]Colombia Radio'!$C$2:$E$69000,3,0),0)</f>
        <v>0</v>
      </c>
      <c r="Q75" s="28">
        <f>IFERROR(VLOOKUP(C75,'[1]Colombia Radio'!$C$2:$F$69000,4,0),0)</f>
        <v>0</v>
      </c>
      <c r="R75" s="28">
        <f t="shared" si="1"/>
        <v>194178</v>
      </c>
      <c r="S75" s="28">
        <f t="shared" si="2"/>
        <v>194178</v>
      </c>
      <c r="T75" s="29">
        <f t="shared" si="3"/>
        <v>0</v>
      </c>
      <c r="U75" s="5" t="s">
        <v>1453</v>
      </c>
      <c r="V75" s="5" t="s">
        <v>1037</v>
      </c>
      <c r="W75" s="5" t="s">
        <v>798</v>
      </c>
    </row>
    <row r="76" spans="1:23" ht="14.4" x14ac:dyDescent="0.3">
      <c r="A76" s="3">
        <v>75</v>
      </c>
      <c r="B76" s="30" t="s">
        <v>800</v>
      </c>
      <c r="C76" s="30" t="s">
        <v>802</v>
      </c>
      <c r="D76" s="5" t="s">
        <v>31</v>
      </c>
      <c r="E76" s="5" t="s">
        <v>1454</v>
      </c>
      <c r="F76" s="5" t="s">
        <v>1455</v>
      </c>
      <c r="G76" s="6">
        <v>350071</v>
      </c>
      <c r="H76" s="5" t="s">
        <v>1456</v>
      </c>
      <c r="I76" s="5" t="s">
        <v>667</v>
      </c>
      <c r="J76" s="5" t="s">
        <v>1457</v>
      </c>
      <c r="K76" s="6">
        <v>7310</v>
      </c>
      <c r="L76" s="5" t="s">
        <v>1458</v>
      </c>
      <c r="M76" s="6">
        <v>0</v>
      </c>
      <c r="N76" s="7">
        <v>240771</v>
      </c>
      <c r="O76" s="7">
        <f t="shared" si="0"/>
        <v>8917.4444444444453</v>
      </c>
      <c r="P76" s="7">
        <v>7</v>
      </c>
      <c r="Q76" s="7">
        <v>5221</v>
      </c>
      <c r="R76" s="7">
        <f t="shared" si="1"/>
        <v>357381</v>
      </c>
      <c r="S76" s="7">
        <f t="shared" si="2"/>
        <v>366298.44444444444</v>
      </c>
      <c r="T76" s="8">
        <f t="shared" si="3"/>
        <v>2.4344751062127242E-2</v>
      </c>
      <c r="U76" s="5" t="s">
        <v>1459</v>
      </c>
      <c r="V76" s="5" t="s">
        <v>1037</v>
      </c>
      <c r="W76" s="5" t="s">
        <v>810</v>
      </c>
    </row>
    <row r="77" spans="1:23" ht="14.4" x14ac:dyDescent="0.3">
      <c r="A77" s="10">
        <v>76</v>
      </c>
      <c r="B77" s="31" t="s">
        <v>360</v>
      </c>
      <c r="C77" s="31" t="s">
        <v>684</v>
      </c>
      <c r="D77" s="11" t="s">
        <v>31</v>
      </c>
      <c r="E77" s="11" t="s">
        <v>1460</v>
      </c>
      <c r="F77" s="11" t="s">
        <v>1461</v>
      </c>
      <c r="G77" s="12">
        <v>339720</v>
      </c>
      <c r="H77" s="11" t="s">
        <v>1462</v>
      </c>
      <c r="I77" s="11" t="s">
        <v>1463</v>
      </c>
      <c r="J77" s="11" t="s">
        <v>1464</v>
      </c>
      <c r="K77" s="12">
        <v>8378</v>
      </c>
      <c r="L77" s="11" t="s">
        <v>1465</v>
      </c>
      <c r="M77" s="12">
        <v>0</v>
      </c>
      <c r="N77" s="13">
        <v>334902</v>
      </c>
      <c r="O77" s="13">
        <f t="shared" si="0"/>
        <v>12403.777777777777</v>
      </c>
      <c r="P77" s="13">
        <v>29</v>
      </c>
      <c r="Q77" s="13">
        <v>3761</v>
      </c>
      <c r="R77" s="13">
        <f t="shared" si="1"/>
        <v>348098</v>
      </c>
      <c r="S77" s="13">
        <f t="shared" si="2"/>
        <v>360501.77777777775</v>
      </c>
      <c r="T77" s="14">
        <f t="shared" si="3"/>
        <v>3.4406980887133863E-2</v>
      </c>
      <c r="U77" s="11" t="s">
        <v>1466</v>
      </c>
      <c r="V77" s="11" t="s">
        <v>1037</v>
      </c>
      <c r="W77" s="11" t="s">
        <v>692</v>
      </c>
    </row>
    <row r="78" spans="1:23" ht="14.4" x14ac:dyDescent="0.3">
      <c r="A78" s="3">
        <v>77</v>
      </c>
      <c r="B78" s="30" t="s">
        <v>892</v>
      </c>
      <c r="C78" s="30" t="s">
        <v>894</v>
      </c>
      <c r="D78" s="5" t="s">
        <v>31</v>
      </c>
      <c r="E78" s="5" t="s">
        <v>1467</v>
      </c>
      <c r="F78" s="5" t="s">
        <v>1468</v>
      </c>
      <c r="G78" s="6">
        <v>288544</v>
      </c>
      <c r="H78" s="5" t="s">
        <v>1469</v>
      </c>
      <c r="I78" s="5" t="s">
        <v>31</v>
      </c>
      <c r="J78" s="5" t="s">
        <v>31</v>
      </c>
      <c r="K78" s="6">
        <v>0</v>
      </c>
      <c r="L78" s="5" t="s">
        <v>31</v>
      </c>
      <c r="M78" s="6">
        <v>0</v>
      </c>
      <c r="N78" s="7">
        <v>1932679</v>
      </c>
      <c r="O78" s="7">
        <f t="shared" si="0"/>
        <v>71580.703703703708</v>
      </c>
      <c r="P78" s="7">
        <v>121</v>
      </c>
      <c r="Q78" s="7">
        <v>213</v>
      </c>
      <c r="R78" s="7">
        <f t="shared" si="1"/>
        <v>288544</v>
      </c>
      <c r="S78" s="7">
        <f t="shared" si="2"/>
        <v>360124.70370370371</v>
      </c>
      <c r="T78" s="8">
        <f t="shared" si="3"/>
        <v>0.19876643553616768</v>
      </c>
      <c r="U78" s="5" t="s">
        <v>1470</v>
      </c>
      <c r="V78" s="5" t="s">
        <v>1037</v>
      </c>
      <c r="W78" s="5" t="s">
        <v>899</v>
      </c>
    </row>
    <row r="79" spans="1:23" ht="14.4" x14ac:dyDescent="0.3">
      <c r="A79" s="10">
        <v>78</v>
      </c>
      <c r="B79" s="30" t="s">
        <v>349</v>
      </c>
      <c r="C79" s="30" t="s">
        <v>351</v>
      </c>
      <c r="D79" s="11" t="s">
        <v>31</v>
      </c>
      <c r="E79" s="11" t="s">
        <v>1471</v>
      </c>
      <c r="F79" s="11" t="s">
        <v>1472</v>
      </c>
      <c r="G79" s="12">
        <v>343992</v>
      </c>
      <c r="H79" s="11" t="s">
        <v>1473</v>
      </c>
      <c r="I79" s="11" t="s">
        <v>1474</v>
      </c>
      <c r="J79" s="11" t="s">
        <v>1475</v>
      </c>
      <c r="K79" s="12">
        <v>12177</v>
      </c>
      <c r="L79" s="11" t="s">
        <v>1476</v>
      </c>
      <c r="M79" s="12">
        <v>0</v>
      </c>
      <c r="N79" s="13">
        <v>0</v>
      </c>
      <c r="O79" s="13">
        <f t="shared" si="0"/>
        <v>0</v>
      </c>
      <c r="P79" s="13">
        <v>0</v>
      </c>
      <c r="Q79" s="13">
        <v>0</v>
      </c>
      <c r="R79" s="13">
        <f t="shared" si="1"/>
        <v>356169</v>
      </c>
      <c r="S79" s="13">
        <f t="shared" si="2"/>
        <v>356169</v>
      </c>
      <c r="T79" s="14">
        <f t="shared" si="3"/>
        <v>0</v>
      </c>
      <c r="U79" s="11" t="s">
        <v>1477</v>
      </c>
      <c r="V79" s="11" t="s">
        <v>1037</v>
      </c>
      <c r="W79" s="11"/>
    </row>
    <row r="80" spans="1:23" ht="14.4" x14ac:dyDescent="0.3">
      <c r="A80" s="3">
        <v>79</v>
      </c>
      <c r="B80" s="30" t="s">
        <v>773</v>
      </c>
      <c r="C80" s="30" t="s">
        <v>775</v>
      </c>
      <c r="D80" s="11" t="s">
        <v>31</v>
      </c>
      <c r="E80" s="11" t="s">
        <v>1478</v>
      </c>
      <c r="F80" s="11" t="s">
        <v>1479</v>
      </c>
      <c r="G80" s="12">
        <v>137032</v>
      </c>
      <c r="H80" s="11" t="s">
        <v>1480</v>
      </c>
      <c r="I80" s="11" t="s">
        <v>31</v>
      </c>
      <c r="J80" s="11" t="s">
        <v>31</v>
      </c>
      <c r="K80" s="12">
        <v>0</v>
      </c>
      <c r="L80" s="11" t="s">
        <v>31</v>
      </c>
      <c r="M80" s="12">
        <v>0</v>
      </c>
      <c r="N80" s="28">
        <f>IFERROR(VLOOKUP(C80,'[1]Colombia Radio'!$C$2:$E$97118,2,0),0)</f>
        <v>0</v>
      </c>
      <c r="O80" s="28">
        <f t="shared" si="0"/>
        <v>0</v>
      </c>
      <c r="P80" s="28">
        <f>IFERROR(VLOOKUP(C80,'[1]Colombia Radio'!$C$2:$E$69000,3,0),0)</f>
        <v>0</v>
      </c>
      <c r="Q80" s="28">
        <f>IFERROR(VLOOKUP(C80,'[1]Colombia Radio'!$C$2:$F$69000,4,0),0)</f>
        <v>0</v>
      </c>
      <c r="R80" s="28">
        <f t="shared" si="1"/>
        <v>137032</v>
      </c>
      <c r="S80" s="28">
        <f t="shared" si="2"/>
        <v>137032</v>
      </c>
      <c r="T80" s="29">
        <f t="shared" si="3"/>
        <v>0</v>
      </c>
      <c r="U80" s="11" t="s">
        <v>1481</v>
      </c>
      <c r="V80" s="11" t="s">
        <v>1037</v>
      </c>
      <c r="W80" s="11"/>
    </row>
    <row r="81" spans="1:23" ht="14.4" x14ac:dyDescent="0.3">
      <c r="A81" s="10">
        <v>80</v>
      </c>
      <c r="B81" s="31" t="s">
        <v>883</v>
      </c>
      <c r="C81" s="31" t="s">
        <v>885</v>
      </c>
      <c r="D81" s="5" t="s">
        <v>31</v>
      </c>
      <c r="E81" s="5" t="s">
        <v>1482</v>
      </c>
      <c r="F81" s="5" t="s">
        <v>1483</v>
      </c>
      <c r="G81" s="6">
        <v>307225</v>
      </c>
      <c r="H81" s="5" t="s">
        <v>1484</v>
      </c>
      <c r="I81" s="5" t="s">
        <v>31</v>
      </c>
      <c r="J81" s="5" t="s">
        <v>31</v>
      </c>
      <c r="K81" s="6">
        <v>0</v>
      </c>
      <c r="L81" s="5" t="s">
        <v>31</v>
      </c>
      <c r="M81" s="6">
        <v>0</v>
      </c>
      <c r="N81" s="7">
        <v>1303190</v>
      </c>
      <c r="O81" s="7">
        <f t="shared" si="0"/>
        <v>48266.296296296299</v>
      </c>
      <c r="P81" s="7">
        <v>60</v>
      </c>
      <c r="Q81" s="7">
        <v>476</v>
      </c>
      <c r="R81" s="7">
        <f t="shared" si="1"/>
        <v>307225</v>
      </c>
      <c r="S81" s="7">
        <f t="shared" si="2"/>
        <v>355491.29629629629</v>
      </c>
      <c r="T81" s="8">
        <f t="shared" si="3"/>
        <v>0.13577349656422283</v>
      </c>
      <c r="U81" s="5" t="s">
        <v>1485</v>
      </c>
      <c r="V81" s="5" t="s">
        <v>1037</v>
      </c>
      <c r="W81" s="5" t="s">
        <v>890</v>
      </c>
    </row>
    <row r="82" spans="1:23" ht="14.4" x14ac:dyDescent="0.3">
      <c r="A82" s="3">
        <v>81</v>
      </c>
      <c r="B82" s="30" t="s">
        <v>982</v>
      </c>
      <c r="C82" s="30" t="s">
        <v>984</v>
      </c>
      <c r="D82" s="11" t="s">
        <v>31</v>
      </c>
      <c r="E82" s="11" t="s">
        <v>1486</v>
      </c>
      <c r="F82" s="11" t="s">
        <v>1487</v>
      </c>
      <c r="G82" s="12">
        <v>325003</v>
      </c>
      <c r="H82" s="11" t="s">
        <v>1488</v>
      </c>
      <c r="I82" s="11" t="s">
        <v>1489</v>
      </c>
      <c r="J82" s="11" t="s">
        <v>1490</v>
      </c>
      <c r="K82" s="12">
        <v>8606</v>
      </c>
      <c r="L82" s="11" t="s">
        <v>1491</v>
      </c>
      <c r="M82" s="12">
        <v>0</v>
      </c>
      <c r="N82" s="13">
        <v>478958</v>
      </c>
      <c r="O82" s="13">
        <f t="shared" si="0"/>
        <v>17739.185185185186</v>
      </c>
      <c r="P82" s="13">
        <v>61</v>
      </c>
      <c r="Q82" s="13">
        <v>2539</v>
      </c>
      <c r="R82" s="13">
        <f t="shared" si="1"/>
        <v>333609</v>
      </c>
      <c r="S82" s="13">
        <f t="shared" si="2"/>
        <v>351348.18518518517</v>
      </c>
      <c r="T82" s="14">
        <f t="shared" si="3"/>
        <v>5.0488905117968344E-2</v>
      </c>
      <c r="U82" s="11" t="s">
        <v>1492</v>
      </c>
      <c r="V82" s="11" t="s">
        <v>1037</v>
      </c>
      <c r="W82" s="11" t="s">
        <v>992</v>
      </c>
    </row>
    <row r="83" spans="1:23" ht="14.4" x14ac:dyDescent="0.3">
      <c r="A83" s="10">
        <v>82</v>
      </c>
      <c r="B83" s="30" t="s">
        <v>843</v>
      </c>
      <c r="C83" s="30" t="s">
        <v>845</v>
      </c>
      <c r="D83" s="5" t="s">
        <v>31</v>
      </c>
      <c r="E83" s="5" t="s">
        <v>1493</v>
      </c>
      <c r="F83" s="5" t="s">
        <v>1494</v>
      </c>
      <c r="G83" s="6">
        <v>209408</v>
      </c>
      <c r="H83" s="5" t="s">
        <v>1495</v>
      </c>
      <c r="I83" s="5" t="s">
        <v>1496</v>
      </c>
      <c r="J83" s="5" t="s">
        <v>1497</v>
      </c>
      <c r="K83" s="6">
        <v>4024</v>
      </c>
      <c r="L83" s="5" t="s">
        <v>1498</v>
      </c>
      <c r="M83" s="6">
        <v>0</v>
      </c>
      <c r="N83" s="28">
        <f>IFERROR(VLOOKUP(C83,'[1]Colombia Radio'!$C$2:$E$97118,2,0),0)</f>
        <v>0</v>
      </c>
      <c r="O83" s="28">
        <f t="shared" si="0"/>
        <v>0</v>
      </c>
      <c r="P83" s="28">
        <f>IFERROR(VLOOKUP(C83,'[1]Colombia Radio'!$C$2:$E$69000,3,0),0)</f>
        <v>0</v>
      </c>
      <c r="Q83" s="28">
        <f>IFERROR(VLOOKUP(C83,'[1]Colombia Radio'!$C$2:$F$69000,4,0),0)</f>
        <v>0</v>
      </c>
      <c r="R83" s="28">
        <f t="shared" si="1"/>
        <v>213432</v>
      </c>
      <c r="S83" s="28">
        <f t="shared" si="2"/>
        <v>213432</v>
      </c>
      <c r="T83" s="29">
        <f t="shared" si="3"/>
        <v>0</v>
      </c>
      <c r="U83" s="5" t="s">
        <v>1499</v>
      </c>
      <c r="V83" s="5" t="s">
        <v>1037</v>
      </c>
      <c r="W83" s="5" t="s">
        <v>853</v>
      </c>
    </row>
    <row r="84" spans="1:23" ht="14.4" x14ac:dyDescent="0.3">
      <c r="A84" s="3">
        <v>83</v>
      </c>
      <c r="B84" s="31" t="s">
        <v>1019</v>
      </c>
      <c r="C84" s="31" t="s">
        <v>1021</v>
      </c>
      <c r="D84" s="5" t="s">
        <v>31</v>
      </c>
      <c r="E84" s="5" t="s">
        <v>1500</v>
      </c>
      <c r="F84" s="5" t="s">
        <v>1501</v>
      </c>
      <c r="G84" s="6">
        <v>275467</v>
      </c>
      <c r="H84" s="5" t="s">
        <v>1502</v>
      </c>
      <c r="I84" s="5" t="s">
        <v>1503</v>
      </c>
      <c r="J84" s="5" t="s">
        <v>1504</v>
      </c>
      <c r="K84" s="6">
        <v>4718</v>
      </c>
      <c r="L84" s="5" t="s">
        <v>1505</v>
      </c>
      <c r="M84" s="6">
        <v>0</v>
      </c>
      <c r="N84" s="7">
        <v>1752472</v>
      </c>
      <c r="O84" s="7">
        <f t="shared" si="0"/>
        <v>64906.370370370372</v>
      </c>
      <c r="P84" s="7">
        <v>129</v>
      </c>
      <c r="Q84" s="7">
        <v>259</v>
      </c>
      <c r="R84" s="7">
        <f t="shared" si="1"/>
        <v>280185</v>
      </c>
      <c r="S84" s="7">
        <f t="shared" si="2"/>
        <v>345091.37037037039</v>
      </c>
      <c r="T84" s="8">
        <f t="shared" si="3"/>
        <v>0.18808459423575097</v>
      </c>
      <c r="U84" s="5" t="s">
        <v>1506</v>
      </c>
      <c r="V84" s="5" t="s">
        <v>1037</v>
      </c>
      <c r="W84" s="5" t="s">
        <v>1029</v>
      </c>
    </row>
    <row r="85" spans="1:23" ht="14.4" x14ac:dyDescent="0.3">
      <c r="A85" s="10">
        <v>84</v>
      </c>
      <c r="B85" s="31" t="s">
        <v>862</v>
      </c>
      <c r="C85" s="31" t="s">
        <v>975</v>
      </c>
      <c r="D85" s="11" t="s">
        <v>31</v>
      </c>
      <c r="E85" s="11" t="s">
        <v>1507</v>
      </c>
      <c r="F85" s="11" t="s">
        <v>1508</v>
      </c>
      <c r="G85" s="12">
        <v>275889</v>
      </c>
      <c r="H85" s="11" t="s">
        <v>1509</v>
      </c>
      <c r="I85" s="11" t="s">
        <v>31</v>
      </c>
      <c r="J85" s="11" t="s">
        <v>31</v>
      </c>
      <c r="K85" s="12">
        <v>0</v>
      </c>
      <c r="L85" s="11" t="s">
        <v>31</v>
      </c>
      <c r="M85" s="12">
        <v>0</v>
      </c>
      <c r="N85" s="13">
        <v>1783682</v>
      </c>
      <c r="O85" s="13">
        <f t="shared" si="0"/>
        <v>66062.296296296292</v>
      </c>
      <c r="P85" s="13">
        <v>111</v>
      </c>
      <c r="Q85" s="13">
        <v>251</v>
      </c>
      <c r="R85" s="13">
        <f t="shared" si="1"/>
        <v>275889</v>
      </c>
      <c r="S85" s="13">
        <f t="shared" si="2"/>
        <v>341951.29629629629</v>
      </c>
      <c r="T85" s="14">
        <f t="shared" si="3"/>
        <v>0.19319212125183519</v>
      </c>
      <c r="U85" s="11" t="s">
        <v>1510</v>
      </c>
      <c r="V85" s="11" t="s">
        <v>1037</v>
      </c>
      <c r="W85" s="11" t="s">
        <v>980</v>
      </c>
    </row>
    <row r="86" spans="1:23" ht="14.4" x14ac:dyDescent="0.3">
      <c r="A86" s="3">
        <v>85</v>
      </c>
      <c r="B86" s="30" t="s">
        <v>208</v>
      </c>
      <c r="C86" s="30" t="s">
        <v>1511</v>
      </c>
      <c r="D86" s="5" t="s">
        <v>31</v>
      </c>
      <c r="E86" s="5" t="s">
        <v>1512</v>
      </c>
      <c r="F86" s="5" t="s">
        <v>1513</v>
      </c>
      <c r="G86" s="6">
        <v>314381</v>
      </c>
      <c r="H86" s="5" t="s">
        <v>1514</v>
      </c>
      <c r="I86" s="5" t="s">
        <v>1515</v>
      </c>
      <c r="J86" s="5" t="s">
        <v>1516</v>
      </c>
      <c r="K86" s="6">
        <v>4222</v>
      </c>
      <c r="L86" s="5" t="s">
        <v>1517</v>
      </c>
      <c r="M86" s="6">
        <v>0</v>
      </c>
      <c r="N86" s="7">
        <v>586411</v>
      </c>
      <c r="O86" s="7">
        <f t="shared" si="0"/>
        <v>21718.925925925927</v>
      </c>
      <c r="P86" s="7">
        <v>32</v>
      </c>
      <c r="Q86" s="7">
        <v>1952</v>
      </c>
      <c r="R86" s="7">
        <f t="shared" si="1"/>
        <v>318603</v>
      </c>
      <c r="S86" s="7">
        <f t="shared" si="2"/>
        <v>340321.92592592596</v>
      </c>
      <c r="T86" s="8">
        <f t="shared" si="3"/>
        <v>6.3818767676618177E-2</v>
      </c>
      <c r="U86" s="5" t="s">
        <v>1518</v>
      </c>
      <c r="V86" s="5" t="s">
        <v>1037</v>
      </c>
      <c r="W86" s="5" t="s">
        <v>1519</v>
      </c>
    </row>
    <row r="87" spans="1:23" ht="14.4" x14ac:dyDescent="0.3">
      <c r="A87" s="10">
        <v>86</v>
      </c>
      <c r="B87" s="31" t="s">
        <v>714</v>
      </c>
      <c r="C87" s="31" t="s">
        <v>716</v>
      </c>
      <c r="D87" s="11" t="s">
        <v>31</v>
      </c>
      <c r="E87" s="11" t="s">
        <v>1520</v>
      </c>
      <c r="F87" s="11" t="s">
        <v>1521</v>
      </c>
      <c r="G87" s="12">
        <v>308713</v>
      </c>
      <c r="H87" s="11" t="s">
        <v>1522</v>
      </c>
      <c r="I87" s="11" t="s">
        <v>31</v>
      </c>
      <c r="J87" s="11" t="s">
        <v>31</v>
      </c>
      <c r="K87" s="12">
        <v>0</v>
      </c>
      <c r="L87" s="11" t="s">
        <v>31</v>
      </c>
      <c r="M87" s="12">
        <v>0</v>
      </c>
      <c r="N87" s="13">
        <v>830359</v>
      </c>
      <c r="O87" s="13">
        <f t="shared" si="0"/>
        <v>30754.037037037036</v>
      </c>
      <c r="P87" s="13">
        <v>61</v>
      </c>
      <c r="Q87" s="13">
        <v>1170</v>
      </c>
      <c r="R87" s="13">
        <f t="shared" si="1"/>
        <v>308713</v>
      </c>
      <c r="S87" s="13">
        <f t="shared" si="2"/>
        <v>339467.03703703702</v>
      </c>
      <c r="T87" s="14">
        <f t="shared" si="3"/>
        <v>9.059506132161417E-2</v>
      </c>
      <c r="U87" s="11" t="s">
        <v>1523</v>
      </c>
      <c r="V87" s="11" t="s">
        <v>1037</v>
      </c>
      <c r="W87" s="11" t="s">
        <v>721</v>
      </c>
    </row>
    <row r="88" spans="1:23" ht="14.4" x14ac:dyDescent="0.3">
      <c r="A88" s="3">
        <v>87</v>
      </c>
      <c r="B88" s="30" t="s">
        <v>313</v>
      </c>
      <c r="C88" s="30" t="s">
        <v>911</v>
      </c>
      <c r="D88" s="5" t="s">
        <v>31</v>
      </c>
      <c r="E88" s="5" t="s">
        <v>1524</v>
      </c>
      <c r="F88" s="5" t="s">
        <v>1525</v>
      </c>
      <c r="G88" s="6">
        <v>258819</v>
      </c>
      <c r="H88" s="5" t="s">
        <v>1526</v>
      </c>
      <c r="I88" s="5" t="s">
        <v>508</v>
      </c>
      <c r="J88" s="5" t="s">
        <v>1527</v>
      </c>
      <c r="K88" s="6">
        <v>165</v>
      </c>
      <c r="L88" s="5" t="s">
        <v>1528</v>
      </c>
      <c r="M88" s="6">
        <v>0</v>
      </c>
      <c r="N88" s="28">
        <v>0</v>
      </c>
      <c r="O88" s="28">
        <f t="shared" si="0"/>
        <v>0</v>
      </c>
      <c r="P88" s="28">
        <v>0</v>
      </c>
      <c r="Q88" s="28">
        <v>0</v>
      </c>
      <c r="R88" s="28">
        <f t="shared" si="1"/>
        <v>258984</v>
      </c>
      <c r="S88" s="28">
        <f t="shared" si="2"/>
        <v>258984</v>
      </c>
      <c r="T88" s="29">
        <f t="shared" si="3"/>
        <v>0</v>
      </c>
      <c r="U88" s="5" t="s">
        <v>1529</v>
      </c>
      <c r="V88" s="5" t="s">
        <v>1037</v>
      </c>
      <c r="W88" s="5" t="s">
        <v>919</v>
      </c>
    </row>
    <row r="89" spans="1:23" ht="14.4" x14ac:dyDescent="0.3">
      <c r="A89" s="10">
        <v>88</v>
      </c>
      <c r="B89" s="31" t="s">
        <v>1530</v>
      </c>
      <c r="C89" s="31" t="s">
        <v>1012</v>
      </c>
      <c r="D89" s="5" t="s">
        <v>31</v>
      </c>
      <c r="E89" s="5" t="s">
        <v>1531</v>
      </c>
      <c r="F89" s="5" t="s">
        <v>1532</v>
      </c>
      <c r="G89" s="6">
        <v>73421</v>
      </c>
      <c r="H89" s="5" t="s">
        <v>1533</v>
      </c>
      <c r="I89" s="5" t="s">
        <v>31</v>
      </c>
      <c r="J89" s="5" t="s">
        <v>31</v>
      </c>
      <c r="K89" s="6">
        <v>0</v>
      </c>
      <c r="L89" s="5" t="s">
        <v>31</v>
      </c>
      <c r="M89" s="6">
        <v>0</v>
      </c>
      <c r="N89" s="28">
        <v>0</v>
      </c>
      <c r="O89" s="28">
        <f t="shared" si="0"/>
        <v>0</v>
      </c>
      <c r="P89" s="28">
        <v>0</v>
      </c>
      <c r="Q89" s="28">
        <v>0</v>
      </c>
      <c r="R89" s="28">
        <f t="shared" si="1"/>
        <v>73421</v>
      </c>
      <c r="S89" s="28">
        <f t="shared" si="2"/>
        <v>73421</v>
      </c>
      <c r="T89" s="29">
        <f t="shared" si="3"/>
        <v>0</v>
      </c>
      <c r="U89" s="5" t="s">
        <v>1534</v>
      </c>
      <c r="V89" s="5" t="s">
        <v>1037</v>
      </c>
      <c r="W89" s="5" t="s">
        <v>1017</v>
      </c>
    </row>
    <row r="90" spans="1:23" ht="14.4" x14ac:dyDescent="0.3">
      <c r="A90" s="3">
        <v>89</v>
      </c>
      <c r="B90" s="31" t="s">
        <v>921</v>
      </c>
      <c r="C90" s="31" t="s">
        <v>923</v>
      </c>
      <c r="D90" s="5" t="s">
        <v>31</v>
      </c>
      <c r="E90" s="5" t="s">
        <v>1535</v>
      </c>
      <c r="F90" s="5" t="s">
        <v>1536</v>
      </c>
      <c r="G90" s="6">
        <v>334375</v>
      </c>
      <c r="H90" s="5" t="s">
        <v>1537</v>
      </c>
      <c r="I90" s="5" t="s">
        <v>31</v>
      </c>
      <c r="J90" s="5" t="s">
        <v>31</v>
      </c>
      <c r="K90" s="6">
        <v>0</v>
      </c>
      <c r="L90" s="5" t="s">
        <v>31</v>
      </c>
      <c r="M90" s="6">
        <v>0</v>
      </c>
      <c r="N90" s="7">
        <v>0</v>
      </c>
      <c r="O90" s="7">
        <f t="shared" si="0"/>
        <v>0</v>
      </c>
      <c r="P90" s="7">
        <v>0</v>
      </c>
      <c r="Q90" s="7">
        <v>0</v>
      </c>
      <c r="R90" s="7">
        <f t="shared" si="1"/>
        <v>334375</v>
      </c>
      <c r="S90" s="7">
        <f t="shared" si="2"/>
        <v>334375</v>
      </c>
      <c r="T90" s="8">
        <f t="shared" si="3"/>
        <v>0</v>
      </c>
      <c r="U90" s="5" t="s">
        <v>1538</v>
      </c>
      <c r="V90" s="5" t="s">
        <v>1037</v>
      </c>
      <c r="W90" s="5" t="s">
        <v>928</v>
      </c>
    </row>
    <row r="91" spans="1:23" ht="14.4" x14ac:dyDescent="0.3">
      <c r="A91" s="10">
        <v>90</v>
      </c>
      <c r="B91" s="30" t="s">
        <v>1539</v>
      </c>
      <c r="C91" s="30" t="s">
        <v>1540</v>
      </c>
      <c r="D91" s="11" t="s">
        <v>31</v>
      </c>
      <c r="E91" s="11" t="s">
        <v>1541</v>
      </c>
      <c r="F91" s="11" t="s">
        <v>1542</v>
      </c>
      <c r="G91" s="12">
        <v>264535</v>
      </c>
      <c r="H91" s="11" t="s">
        <v>1543</v>
      </c>
      <c r="I91" s="11" t="s">
        <v>31</v>
      </c>
      <c r="J91" s="11" t="s">
        <v>31</v>
      </c>
      <c r="K91" s="12">
        <v>0</v>
      </c>
      <c r="L91" s="11" t="s">
        <v>31</v>
      </c>
      <c r="M91" s="12">
        <v>0</v>
      </c>
      <c r="N91" s="28">
        <v>0</v>
      </c>
      <c r="O91" s="28">
        <f t="shared" si="0"/>
        <v>0</v>
      </c>
      <c r="P91" s="28">
        <v>0</v>
      </c>
      <c r="Q91" s="28">
        <v>0</v>
      </c>
      <c r="R91" s="28">
        <f t="shared" si="1"/>
        <v>264535</v>
      </c>
      <c r="S91" s="28">
        <f t="shared" si="2"/>
        <v>264535</v>
      </c>
      <c r="T91" s="29">
        <f t="shared" si="3"/>
        <v>0</v>
      </c>
      <c r="U91" s="11" t="s">
        <v>1544</v>
      </c>
      <c r="V91" s="11" t="s">
        <v>1037</v>
      </c>
      <c r="W91" s="11" t="s">
        <v>1545</v>
      </c>
    </row>
    <row r="92" spans="1:23" ht="14.4" x14ac:dyDescent="0.3">
      <c r="A92" s="3">
        <v>91</v>
      </c>
      <c r="B92" s="30" t="s">
        <v>862</v>
      </c>
      <c r="C92" s="30" t="s">
        <v>1546</v>
      </c>
      <c r="D92" s="5" t="s">
        <v>31</v>
      </c>
      <c r="E92" s="5" t="s">
        <v>1547</v>
      </c>
      <c r="F92" s="5" t="s">
        <v>1548</v>
      </c>
      <c r="G92" s="6">
        <v>272992</v>
      </c>
      <c r="H92" s="5" t="s">
        <v>1549</v>
      </c>
      <c r="I92" s="5" t="s">
        <v>31</v>
      </c>
      <c r="J92" s="5" t="s">
        <v>31</v>
      </c>
      <c r="K92" s="6">
        <v>0</v>
      </c>
      <c r="L92" s="5" t="s">
        <v>31</v>
      </c>
      <c r="M92" s="6">
        <v>0</v>
      </c>
      <c r="N92" s="28">
        <v>0</v>
      </c>
      <c r="O92" s="28">
        <f t="shared" si="0"/>
        <v>0</v>
      </c>
      <c r="P92" s="28">
        <v>0</v>
      </c>
      <c r="Q92" s="28">
        <v>0</v>
      </c>
      <c r="R92" s="28">
        <f t="shared" si="1"/>
        <v>272992</v>
      </c>
      <c r="S92" s="28">
        <f t="shared" si="2"/>
        <v>272992</v>
      </c>
      <c r="T92" s="29">
        <f t="shared" si="3"/>
        <v>0</v>
      </c>
      <c r="U92" s="5" t="s">
        <v>1550</v>
      </c>
      <c r="V92" s="5" t="s">
        <v>1037</v>
      </c>
      <c r="W92" s="5" t="s">
        <v>1551</v>
      </c>
    </row>
    <row r="93" spans="1:23" ht="14.4" x14ac:dyDescent="0.3">
      <c r="A93" s="10">
        <v>92</v>
      </c>
      <c r="B93" s="30" t="s">
        <v>994</v>
      </c>
      <c r="C93" s="30" t="s">
        <v>996</v>
      </c>
      <c r="D93" s="11" t="s">
        <v>31</v>
      </c>
      <c r="E93" s="11" t="s">
        <v>1552</v>
      </c>
      <c r="F93" s="11" t="s">
        <v>1553</v>
      </c>
      <c r="G93" s="12">
        <v>332646</v>
      </c>
      <c r="H93" s="11" t="s">
        <v>1554</v>
      </c>
      <c r="I93" s="11" t="s">
        <v>31</v>
      </c>
      <c r="J93" s="11" t="s">
        <v>31</v>
      </c>
      <c r="K93" s="12">
        <v>0</v>
      </c>
      <c r="L93" s="11" t="s">
        <v>31</v>
      </c>
      <c r="M93" s="12">
        <v>0</v>
      </c>
      <c r="N93" s="13">
        <v>0</v>
      </c>
      <c r="O93" s="13">
        <f t="shared" si="0"/>
        <v>0</v>
      </c>
      <c r="P93" s="13">
        <v>0</v>
      </c>
      <c r="Q93" s="13">
        <v>0</v>
      </c>
      <c r="R93" s="13">
        <f t="shared" si="1"/>
        <v>332646</v>
      </c>
      <c r="S93" s="13">
        <f t="shared" si="2"/>
        <v>332646</v>
      </c>
      <c r="T93" s="14">
        <f t="shared" si="3"/>
        <v>0</v>
      </c>
      <c r="U93" s="11" t="s">
        <v>1555</v>
      </c>
      <c r="V93" s="11" t="s">
        <v>1037</v>
      </c>
      <c r="W93" s="11" t="s">
        <v>1001</v>
      </c>
    </row>
    <row r="94" spans="1:23" ht="14.4" x14ac:dyDescent="0.3">
      <c r="A94" s="3">
        <v>93</v>
      </c>
      <c r="B94" s="30" t="s">
        <v>1556</v>
      </c>
      <c r="C94" s="30" t="s">
        <v>1557</v>
      </c>
      <c r="D94" s="5" t="s">
        <v>31</v>
      </c>
      <c r="E94" s="5" t="s">
        <v>1558</v>
      </c>
      <c r="F94" s="5" t="s">
        <v>1559</v>
      </c>
      <c r="G94" s="6">
        <v>287145</v>
      </c>
      <c r="H94" s="5" t="s">
        <v>1560</v>
      </c>
      <c r="I94" s="5" t="s">
        <v>31</v>
      </c>
      <c r="J94" s="5" t="s">
        <v>31</v>
      </c>
      <c r="K94" s="6">
        <v>0</v>
      </c>
      <c r="L94" s="5" t="s">
        <v>31</v>
      </c>
      <c r="M94" s="6">
        <v>0</v>
      </c>
      <c r="N94" s="7">
        <v>1171575</v>
      </c>
      <c r="O94" s="7">
        <f t="shared" si="0"/>
        <v>43391.666666666664</v>
      </c>
      <c r="P94" s="7">
        <v>62</v>
      </c>
      <c r="Q94" s="7">
        <v>608</v>
      </c>
      <c r="R94" s="7">
        <f t="shared" si="1"/>
        <v>287145</v>
      </c>
      <c r="S94" s="7">
        <f t="shared" si="2"/>
        <v>330536.66666666669</v>
      </c>
      <c r="T94" s="8">
        <f t="shared" si="3"/>
        <v>0.13127640907211502</v>
      </c>
      <c r="U94" s="5" t="s">
        <v>1561</v>
      </c>
      <c r="V94" s="5" t="s">
        <v>1037</v>
      </c>
      <c r="W94" s="5" t="s">
        <v>1562</v>
      </c>
    </row>
    <row r="95" spans="1:23" ht="14.4" x14ac:dyDescent="0.3">
      <c r="A95" s="10">
        <v>94</v>
      </c>
      <c r="B95" s="33" t="s">
        <v>283</v>
      </c>
      <c r="C95" s="33" t="s">
        <v>951</v>
      </c>
      <c r="D95" s="5" t="s">
        <v>31</v>
      </c>
      <c r="E95" s="5" t="s">
        <v>1563</v>
      </c>
      <c r="F95" s="5" t="s">
        <v>1564</v>
      </c>
      <c r="G95" s="6">
        <v>240072</v>
      </c>
      <c r="H95" s="5" t="s">
        <v>1565</v>
      </c>
      <c r="I95" s="5" t="s">
        <v>31</v>
      </c>
      <c r="J95" s="5" t="s">
        <v>31</v>
      </c>
      <c r="K95" s="6">
        <v>0</v>
      </c>
      <c r="L95" s="5" t="s">
        <v>31</v>
      </c>
      <c r="M95" s="6">
        <v>0</v>
      </c>
      <c r="N95" s="28">
        <f>IFERROR(VLOOKUP(C95,'[1]Colombia Radio'!$C$2:$E$97118,2,0),0)</f>
        <v>0</v>
      </c>
      <c r="O95" s="28">
        <f t="shared" si="0"/>
        <v>0</v>
      </c>
      <c r="P95" s="28">
        <f>IFERROR(VLOOKUP(C95,'[1]Colombia Radio'!$C$2:$E$69000,3,0),0)</f>
        <v>0</v>
      </c>
      <c r="Q95" s="28">
        <f>IFERROR(VLOOKUP(C95,'[1]Colombia Radio'!$C$2:$F$69000,4,0),0)</f>
        <v>0</v>
      </c>
      <c r="R95" s="28">
        <f t="shared" si="1"/>
        <v>240072</v>
      </c>
      <c r="S95" s="28">
        <f t="shared" si="2"/>
        <v>240072</v>
      </c>
      <c r="T95" s="29">
        <f t="shared" si="3"/>
        <v>0</v>
      </c>
      <c r="U95" s="5" t="s">
        <v>1566</v>
      </c>
      <c r="V95" s="5" t="s">
        <v>1037</v>
      </c>
      <c r="W95" s="5" t="s">
        <v>956</v>
      </c>
    </row>
    <row r="96" spans="1:23" ht="14.4" x14ac:dyDescent="0.3">
      <c r="A96" s="3">
        <v>95</v>
      </c>
      <c r="B96" s="17" t="s">
        <v>1567</v>
      </c>
      <c r="C96" s="17" t="s">
        <v>1568</v>
      </c>
      <c r="D96" s="11" t="s">
        <v>31</v>
      </c>
      <c r="E96" s="11" t="s">
        <v>1569</v>
      </c>
      <c r="F96" s="11" t="s">
        <v>1570</v>
      </c>
      <c r="G96" s="12">
        <v>301476</v>
      </c>
      <c r="H96" s="11" t="s">
        <v>1571</v>
      </c>
      <c r="I96" s="11" t="s">
        <v>1572</v>
      </c>
      <c r="J96" s="11" t="s">
        <v>1573</v>
      </c>
      <c r="K96" s="12">
        <v>4151</v>
      </c>
      <c r="L96" s="11" t="s">
        <v>1574</v>
      </c>
      <c r="M96" s="12">
        <v>0</v>
      </c>
      <c r="N96" s="13">
        <v>638406</v>
      </c>
      <c r="O96" s="13">
        <f t="shared" si="0"/>
        <v>23644.666666666668</v>
      </c>
      <c r="P96" s="13">
        <v>40</v>
      </c>
      <c r="Q96" s="13">
        <v>1737</v>
      </c>
      <c r="R96" s="13">
        <f t="shared" si="1"/>
        <v>305627</v>
      </c>
      <c r="S96" s="13">
        <f t="shared" si="2"/>
        <v>329271.66666666669</v>
      </c>
      <c r="T96" s="14">
        <f t="shared" si="3"/>
        <v>7.180899257452053E-2</v>
      </c>
      <c r="U96" s="11" t="s">
        <v>1575</v>
      </c>
      <c r="V96" s="11" t="s">
        <v>1037</v>
      </c>
      <c r="W96" s="11" t="s">
        <v>1576</v>
      </c>
    </row>
    <row r="97" spans="1:23" ht="14.4" x14ac:dyDescent="0.3">
      <c r="A97" s="10">
        <v>96</v>
      </c>
      <c r="B97" s="31" t="s">
        <v>862</v>
      </c>
      <c r="C97" s="31" t="s">
        <v>1577</v>
      </c>
      <c r="D97" s="5" t="s">
        <v>31</v>
      </c>
      <c r="E97" s="5" t="s">
        <v>1578</v>
      </c>
      <c r="F97" s="5" t="s">
        <v>1579</v>
      </c>
      <c r="G97" s="6">
        <v>280893</v>
      </c>
      <c r="H97" s="5" t="s">
        <v>1580</v>
      </c>
      <c r="I97" s="5" t="s">
        <v>1581</v>
      </c>
      <c r="J97" s="5" t="s">
        <v>1582</v>
      </c>
      <c r="K97" s="6">
        <v>8029</v>
      </c>
      <c r="L97" s="5" t="s">
        <v>1583</v>
      </c>
      <c r="M97" s="6">
        <v>0</v>
      </c>
      <c r="N97" s="7">
        <v>1083571</v>
      </c>
      <c r="O97" s="7">
        <f t="shared" si="0"/>
        <v>40132.259259259263</v>
      </c>
      <c r="P97" s="7">
        <v>45</v>
      </c>
      <c r="Q97" s="7">
        <v>729</v>
      </c>
      <c r="R97" s="7">
        <f t="shared" si="1"/>
        <v>288922</v>
      </c>
      <c r="S97" s="7">
        <f t="shared" si="2"/>
        <v>329054.25925925927</v>
      </c>
      <c r="T97" s="8">
        <f t="shared" si="3"/>
        <v>0.12196243668020529</v>
      </c>
      <c r="U97" s="5" t="s">
        <v>1584</v>
      </c>
      <c r="V97" s="5" t="s">
        <v>1037</v>
      </c>
      <c r="W97" s="5" t="s">
        <v>1585</v>
      </c>
    </row>
    <row r="98" spans="1:23" ht="14.4" x14ac:dyDescent="0.3">
      <c r="A98" s="3">
        <v>97</v>
      </c>
      <c r="B98" s="30" t="s">
        <v>958</v>
      </c>
      <c r="C98" s="30" t="s">
        <v>960</v>
      </c>
      <c r="D98" s="11" t="s">
        <v>31</v>
      </c>
      <c r="E98" s="11" t="s">
        <v>1586</v>
      </c>
      <c r="F98" s="11" t="s">
        <v>1587</v>
      </c>
      <c r="G98" s="12">
        <v>278182</v>
      </c>
      <c r="H98" s="11" t="s">
        <v>1588</v>
      </c>
      <c r="I98" s="11" t="s">
        <v>31</v>
      </c>
      <c r="J98" s="11" t="s">
        <v>31</v>
      </c>
      <c r="K98" s="12">
        <v>0</v>
      </c>
      <c r="L98" s="11" t="s">
        <v>31</v>
      </c>
      <c r="M98" s="12">
        <v>0</v>
      </c>
      <c r="N98" s="13">
        <v>1360697</v>
      </c>
      <c r="O98" s="13">
        <f t="shared" si="0"/>
        <v>50396.185185185182</v>
      </c>
      <c r="P98" s="13">
        <v>80</v>
      </c>
      <c r="Q98" s="13">
        <v>429</v>
      </c>
      <c r="R98" s="13">
        <f t="shared" si="1"/>
        <v>278182</v>
      </c>
      <c r="S98" s="13">
        <f t="shared" si="2"/>
        <v>328578.18518518517</v>
      </c>
      <c r="T98" s="14">
        <f t="shared" si="3"/>
        <v>0.15337654006696191</v>
      </c>
      <c r="U98" s="11" t="s">
        <v>1589</v>
      </c>
      <c r="V98" s="11" t="s">
        <v>1037</v>
      </c>
      <c r="W98" s="11" t="s">
        <v>965</v>
      </c>
    </row>
    <row r="99" spans="1:23" ht="14.4" x14ac:dyDescent="0.3">
      <c r="A99" s="10">
        <v>98</v>
      </c>
      <c r="B99" s="31" t="s">
        <v>939</v>
      </c>
      <c r="C99" s="31" t="s">
        <v>941</v>
      </c>
      <c r="D99" s="11" t="s">
        <v>31</v>
      </c>
      <c r="E99" s="11" t="s">
        <v>1590</v>
      </c>
      <c r="F99" s="11" t="s">
        <v>1591</v>
      </c>
      <c r="G99" s="12">
        <v>205186</v>
      </c>
      <c r="H99" s="11" t="s">
        <v>1592</v>
      </c>
      <c r="I99" s="11" t="s">
        <v>1593</v>
      </c>
      <c r="J99" s="11" t="s">
        <v>1594</v>
      </c>
      <c r="K99" s="12">
        <v>3585</v>
      </c>
      <c r="L99" s="11" t="s">
        <v>1595</v>
      </c>
      <c r="M99" s="12">
        <v>0</v>
      </c>
      <c r="N99" s="28">
        <f>IFERROR(VLOOKUP(C99,'[1]Colombia Radio'!$C$2:$E$97118,2,0),0)</f>
        <v>0</v>
      </c>
      <c r="O99" s="28">
        <f t="shared" si="0"/>
        <v>0</v>
      </c>
      <c r="P99" s="28">
        <f>IFERROR(VLOOKUP(C99,'[1]Colombia Radio'!$C$2:$E$69000,3,0),0)</f>
        <v>0</v>
      </c>
      <c r="Q99" s="28">
        <f>IFERROR(VLOOKUP(C99,'[1]Colombia Radio'!$C$2:$F$69000,4,0),0)</f>
        <v>0</v>
      </c>
      <c r="R99" s="28">
        <f t="shared" si="1"/>
        <v>208771</v>
      </c>
      <c r="S99" s="28">
        <f t="shared" si="2"/>
        <v>208771</v>
      </c>
      <c r="T99" s="29">
        <f t="shared" si="3"/>
        <v>0</v>
      </c>
      <c r="U99" s="11" t="s">
        <v>1596</v>
      </c>
      <c r="V99" s="11" t="s">
        <v>1037</v>
      </c>
      <c r="W99" s="11" t="s">
        <v>949</v>
      </c>
    </row>
    <row r="100" spans="1:23" ht="14.4" x14ac:dyDescent="0.3">
      <c r="A100" s="3">
        <v>99</v>
      </c>
      <c r="B100" s="31" t="s">
        <v>705</v>
      </c>
      <c r="C100" s="31" t="s">
        <v>707</v>
      </c>
      <c r="D100" s="5" t="s">
        <v>31</v>
      </c>
      <c r="E100" s="5" t="s">
        <v>1597</v>
      </c>
      <c r="F100" s="5" t="s">
        <v>1598</v>
      </c>
      <c r="G100" s="6">
        <v>285099</v>
      </c>
      <c r="H100" s="5" t="s">
        <v>1599</v>
      </c>
      <c r="I100" s="5" t="s">
        <v>31</v>
      </c>
      <c r="J100" s="5" t="s">
        <v>31</v>
      </c>
      <c r="K100" s="6">
        <v>0</v>
      </c>
      <c r="L100" s="5" t="s">
        <v>31</v>
      </c>
      <c r="M100" s="6">
        <v>0</v>
      </c>
      <c r="N100" s="7">
        <v>1170813</v>
      </c>
      <c r="O100" s="7">
        <f t="shared" si="0"/>
        <v>43363.444444444445</v>
      </c>
      <c r="P100" s="7">
        <v>54</v>
      </c>
      <c r="Q100" s="7">
        <v>609</v>
      </c>
      <c r="R100" s="7">
        <f t="shared" si="1"/>
        <v>285099</v>
      </c>
      <c r="S100" s="7">
        <f t="shared" si="2"/>
        <v>328462.44444444444</v>
      </c>
      <c r="T100" s="8">
        <f t="shared" si="3"/>
        <v>0.13201949013619688</v>
      </c>
      <c r="U100" s="5" t="s">
        <v>1600</v>
      </c>
      <c r="V100" s="5" t="s">
        <v>1037</v>
      </c>
      <c r="W100" s="5" t="s">
        <v>712</v>
      </c>
    </row>
    <row r="101" spans="1:23" ht="14.4" x14ac:dyDescent="0.3">
      <c r="A101" s="10">
        <v>100</v>
      </c>
      <c r="B101" s="30" t="s">
        <v>283</v>
      </c>
      <c r="C101" s="30" t="s">
        <v>901</v>
      </c>
      <c r="D101" s="11" t="s">
        <v>31</v>
      </c>
      <c r="E101" s="11" t="s">
        <v>1601</v>
      </c>
      <c r="F101" s="11" t="s">
        <v>1602</v>
      </c>
      <c r="G101" s="12">
        <v>293782</v>
      </c>
      <c r="H101" s="11" t="s">
        <v>1603</v>
      </c>
      <c r="I101" s="11" t="s">
        <v>1604</v>
      </c>
      <c r="J101" s="11" t="s">
        <v>1605</v>
      </c>
      <c r="K101" s="12">
        <v>6061</v>
      </c>
      <c r="L101" s="11" t="s">
        <v>1606</v>
      </c>
      <c r="M101" s="12">
        <v>0</v>
      </c>
      <c r="N101" s="13">
        <v>743715</v>
      </c>
      <c r="O101" s="13">
        <f t="shared" si="0"/>
        <v>27545</v>
      </c>
      <c r="P101" s="13">
        <v>57</v>
      </c>
      <c r="Q101" s="13">
        <v>1404</v>
      </c>
      <c r="R101" s="13">
        <f t="shared" si="1"/>
        <v>299843</v>
      </c>
      <c r="S101" s="13">
        <f t="shared" si="2"/>
        <v>327388</v>
      </c>
      <c r="T101" s="14">
        <f t="shared" si="3"/>
        <v>8.4135643334514398E-2</v>
      </c>
      <c r="U101" s="11" t="s">
        <v>1607</v>
      </c>
      <c r="V101" s="11" t="s">
        <v>1037</v>
      </c>
      <c r="W101" s="11" t="s">
        <v>909</v>
      </c>
    </row>
  </sheetData>
  <pageMargins left="0.7" right="0.7" top="0.75" bottom="0.75" header="0.3" footer="0.3"/>
  <tableParts count="6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01"/>
  <sheetViews>
    <sheetView workbookViewId="0"/>
  </sheetViews>
  <sheetFormatPr baseColWidth="10" defaultColWidth="12.6640625" defaultRowHeight="15.75" customHeight="1" x14ac:dyDescent="0.25"/>
  <sheetData>
    <row r="1" spans="1:23" ht="15.75" customHeight="1" x14ac:dyDescent="0.3">
      <c r="A1" s="1" t="s">
        <v>2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spans="1:23" ht="15.75" customHeight="1" x14ac:dyDescent="0.3">
      <c r="A2" s="3">
        <v>1</v>
      </c>
      <c r="B2" s="30" t="s">
        <v>104</v>
      </c>
      <c r="C2" s="30" t="s">
        <v>106</v>
      </c>
      <c r="D2" s="5" t="s">
        <v>31</v>
      </c>
      <c r="E2" s="5" t="s">
        <v>1608</v>
      </c>
      <c r="F2" s="5" t="s">
        <v>1609</v>
      </c>
      <c r="G2" s="6">
        <v>571413</v>
      </c>
      <c r="H2" s="5" t="s">
        <v>1610</v>
      </c>
      <c r="I2" s="5" t="s">
        <v>1611</v>
      </c>
      <c r="J2" s="5" t="s">
        <v>1612</v>
      </c>
      <c r="K2" s="6">
        <v>34187</v>
      </c>
      <c r="L2" s="5" t="s">
        <v>1613</v>
      </c>
      <c r="M2" s="6">
        <v>0</v>
      </c>
      <c r="N2" s="7">
        <v>40980477</v>
      </c>
      <c r="O2" s="7">
        <f t="shared" ref="O2:O101" si="0">SUM(N2/27)</f>
        <v>1517795.4444444445</v>
      </c>
      <c r="P2" s="7">
        <v>1616</v>
      </c>
      <c r="Q2" s="7">
        <v>1</v>
      </c>
      <c r="R2" s="7">
        <f t="shared" ref="R2:R101" si="1">SUM(G2,K2,M2)</f>
        <v>605600</v>
      </c>
      <c r="S2" s="7">
        <f t="shared" ref="S2:S101" si="2">SUM(O2,R2)</f>
        <v>2123395.4444444445</v>
      </c>
      <c r="T2" s="8">
        <f t="shared" ref="T2:T101" si="3">SUM(O2/S2)</f>
        <v>0.71479641176377939</v>
      </c>
      <c r="U2" s="5" t="s">
        <v>1614</v>
      </c>
      <c r="V2" s="5" t="s">
        <v>1615</v>
      </c>
      <c r="W2" s="5" t="s">
        <v>114</v>
      </c>
    </row>
    <row r="3" spans="1:23" ht="15.75" customHeight="1" x14ac:dyDescent="0.3">
      <c r="A3" s="10">
        <v>2</v>
      </c>
      <c r="B3" s="31" t="s">
        <v>28</v>
      </c>
      <c r="C3" s="31" t="s">
        <v>30</v>
      </c>
      <c r="D3" s="11" t="s">
        <v>1616</v>
      </c>
      <c r="E3" s="11" t="s">
        <v>1617</v>
      </c>
      <c r="F3" s="11" t="s">
        <v>1618</v>
      </c>
      <c r="G3" s="12">
        <v>993293</v>
      </c>
      <c r="H3" s="11" t="s">
        <v>1619</v>
      </c>
      <c r="I3" s="11" t="s">
        <v>1620</v>
      </c>
      <c r="J3" s="11" t="s">
        <v>1621</v>
      </c>
      <c r="K3" s="12">
        <v>5852</v>
      </c>
      <c r="L3" s="11" t="s">
        <v>1622</v>
      </c>
      <c r="M3" s="12">
        <v>337</v>
      </c>
      <c r="N3" s="13">
        <v>11583811</v>
      </c>
      <c r="O3" s="13">
        <f t="shared" si="0"/>
        <v>429030.03703703702</v>
      </c>
      <c r="P3" s="13">
        <v>671</v>
      </c>
      <c r="Q3" s="13">
        <v>20</v>
      </c>
      <c r="R3" s="13">
        <f t="shared" si="1"/>
        <v>999482</v>
      </c>
      <c r="S3" s="13">
        <f t="shared" si="2"/>
        <v>1428512.0370370371</v>
      </c>
      <c r="T3" s="14">
        <f t="shared" si="3"/>
        <v>0.30033351201360131</v>
      </c>
      <c r="U3" s="11" t="s">
        <v>1623</v>
      </c>
      <c r="V3" s="11" t="s">
        <v>1615</v>
      </c>
      <c r="W3" s="11" t="s">
        <v>40</v>
      </c>
    </row>
    <row r="4" spans="1:23" ht="15.75" customHeight="1" x14ac:dyDescent="0.3">
      <c r="A4" s="3">
        <v>3</v>
      </c>
      <c r="B4" s="30" t="s">
        <v>51</v>
      </c>
      <c r="C4" s="30" t="s">
        <v>53</v>
      </c>
      <c r="D4" s="5" t="s">
        <v>1186</v>
      </c>
      <c r="E4" s="5" t="s">
        <v>1624</v>
      </c>
      <c r="F4" s="5" t="s">
        <v>1625</v>
      </c>
      <c r="G4" s="6">
        <v>984020</v>
      </c>
      <c r="H4" s="5" t="s">
        <v>1626</v>
      </c>
      <c r="I4" s="5" t="s">
        <v>1627</v>
      </c>
      <c r="J4" s="5" t="s">
        <v>1628</v>
      </c>
      <c r="K4" s="6">
        <v>10506</v>
      </c>
      <c r="L4" s="5" t="s">
        <v>1629</v>
      </c>
      <c r="M4" s="6">
        <v>674</v>
      </c>
      <c r="N4" s="7">
        <v>11676709</v>
      </c>
      <c r="O4" s="7">
        <f t="shared" si="0"/>
        <v>432470.70370370371</v>
      </c>
      <c r="P4" s="7">
        <v>610</v>
      </c>
      <c r="Q4" s="7">
        <v>19</v>
      </c>
      <c r="R4" s="7">
        <f t="shared" si="1"/>
        <v>995200</v>
      </c>
      <c r="S4" s="7">
        <f t="shared" si="2"/>
        <v>1427670.7037037038</v>
      </c>
      <c r="T4" s="8">
        <f t="shared" si="3"/>
        <v>0.302920486202999</v>
      </c>
      <c r="U4" s="5" t="s">
        <v>1630</v>
      </c>
      <c r="V4" s="5" t="s">
        <v>1615</v>
      </c>
      <c r="W4" s="5" t="s">
        <v>61</v>
      </c>
    </row>
    <row r="5" spans="1:23" ht="15.75" customHeight="1" x14ac:dyDescent="0.3">
      <c r="A5" s="10">
        <v>4</v>
      </c>
      <c r="B5" s="30" t="s">
        <v>84</v>
      </c>
      <c r="C5" s="30" t="s">
        <v>86</v>
      </c>
      <c r="D5" s="11" t="s">
        <v>31</v>
      </c>
      <c r="E5" s="11" t="s">
        <v>1631</v>
      </c>
      <c r="F5" s="11" t="s">
        <v>1632</v>
      </c>
      <c r="G5" s="12">
        <v>698306</v>
      </c>
      <c r="H5" s="11" t="s">
        <v>1633</v>
      </c>
      <c r="I5" s="11" t="s">
        <v>1634</v>
      </c>
      <c r="J5" s="11" t="s">
        <v>1635</v>
      </c>
      <c r="K5" s="12">
        <v>20752</v>
      </c>
      <c r="L5" s="11" t="s">
        <v>1636</v>
      </c>
      <c r="M5" s="12">
        <v>0</v>
      </c>
      <c r="N5" s="13">
        <v>17828804</v>
      </c>
      <c r="O5" s="13">
        <f t="shared" si="0"/>
        <v>660326.07407407404</v>
      </c>
      <c r="P5" s="13">
        <v>969</v>
      </c>
      <c r="Q5" s="13">
        <v>12</v>
      </c>
      <c r="R5" s="13">
        <f t="shared" si="1"/>
        <v>719058</v>
      </c>
      <c r="S5" s="13">
        <f t="shared" si="2"/>
        <v>1379384.0740740742</v>
      </c>
      <c r="T5" s="14">
        <f t="shared" si="3"/>
        <v>0.47871081483764755</v>
      </c>
      <c r="U5" s="11" t="s">
        <v>1637</v>
      </c>
      <c r="V5" s="11" t="s">
        <v>1615</v>
      </c>
      <c r="W5" s="11" t="s">
        <v>94</v>
      </c>
    </row>
    <row r="6" spans="1:23" ht="15.75" customHeight="1" x14ac:dyDescent="0.3">
      <c r="A6" s="3">
        <v>5</v>
      </c>
      <c r="B6" s="30" t="s">
        <v>63</v>
      </c>
      <c r="C6" s="30" t="s">
        <v>65</v>
      </c>
      <c r="D6" s="5" t="s">
        <v>31</v>
      </c>
      <c r="E6" s="5" t="s">
        <v>1638</v>
      </c>
      <c r="F6" s="5" t="s">
        <v>1639</v>
      </c>
      <c r="G6" s="6">
        <v>629397</v>
      </c>
      <c r="H6" s="5" t="s">
        <v>1640</v>
      </c>
      <c r="I6" s="5" t="s">
        <v>31</v>
      </c>
      <c r="J6" s="5" t="s">
        <v>31</v>
      </c>
      <c r="K6" s="6">
        <v>0</v>
      </c>
      <c r="L6" s="5" t="s">
        <v>31</v>
      </c>
      <c r="M6" s="6">
        <v>0</v>
      </c>
      <c r="N6" s="7">
        <v>19828292</v>
      </c>
      <c r="O6" s="7">
        <f t="shared" si="0"/>
        <v>734381.18518518517</v>
      </c>
      <c r="P6" s="7">
        <v>1031</v>
      </c>
      <c r="Q6" s="7">
        <v>10</v>
      </c>
      <c r="R6" s="7">
        <f t="shared" si="1"/>
        <v>629397</v>
      </c>
      <c r="S6" s="7">
        <f t="shared" si="2"/>
        <v>1363778.1851851852</v>
      </c>
      <c r="T6" s="8">
        <f t="shared" si="3"/>
        <v>0.53849019815892185</v>
      </c>
      <c r="U6" s="5" t="s">
        <v>1641</v>
      </c>
      <c r="V6" s="5" t="s">
        <v>1615</v>
      </c>
      <c r="W6" s="5" t="s">
        <v>70</v>
      </c>
    </row>
    <row r="7" spans="1:23" ht="15.75" customHeight="1" x14ac:dyDescent="0.3">
      <c r="A7" s="10">
        <v>6</v>
      </c>
      <c r="B7" s="31" t="s">
        <v>72</v>
      </c>
      <c r="C7" s="31" t="s">
        <v>74</v>
      </c>
      <c r="D7" s="11" t="s">
        <v>31</v>
      </c>
      <c r="E7" s="11" t="s">
        <v>1642</v>
      </c>
      <c r="F7" s="11" t="s">
        <v>1643</v>
      </c>
      <c r="G7" s="12">
        <v>679917</v>
      </c>
      <c r="H7" s="11" t="s">
        <v>1644</v>
      </c>
      <c r="I7" s="11" t="s">
        <v>1443</v>
      </c>
      <c r="J7" s="11" t="s">
        <v>1645</v>
      </c>
      <c r="K7" s="12">
        <v>14815</v>
      </c>
      <c r="L7" s="11" t="s">
        <v>1646</v>
      </c>
      <c r="M7" s="12">
        <v>0</v>
      </c>
      <c r="N7" s="13">
        <v>14509316</v>
      </c>
      <c r="O7" s="13">
        <f t="shared" si="0"/>
        <v>537382.07407407404</v>
      </c>
      <c r="P7" s="13">
        <v>694</v>
      </c>
      <c r="Q7" s="13">
        <v>13</v>
      </c>
      <c r="R7" s="13">
        <f t="shared" si="1"/>
        <v>694732</v>
      </c>
      <c r="S7" s="13">
        <f t="shared" si="2"/>
        <v>1232114.0740740742</v>
      </c>
      <c r="T7" s="14">
        <f t="shared" si="3"/>
        <v>0.43614636451410821</v>
      </c>
      <c r="U7" s="11" t="s">
        <v>1647</v>
      </c>
      <c r="V7" s="11" t="s">
        <v>1615</v>
      </c>
      <c r="W7" s="11" t="s">
        <v>82</v>
      </c>
    </row>
    <row r="8" spans="1:23" ht="15.75" customHeight="1" x14ac:dyDescent="0.3">
      <c r="A8" s="3">
        <v>7</v>
      </c>
      <c r="B8" s="30" t="s">
        <v>179</v>
      </c>
      <c r="C8" s="30" t="s">
        <v>577</v>
      </c>
      <c r="D8" s="5" t="s">
        <v>31</v>
      </c>
      <c r="E8" s="5" t="s">
        <v>1648</v>
      </c>
      <c r="F8" s="5" t="s">
        <v>1649</v>
      </c>
      <c r="G8" s="6">
        <v>166642</v>
      </c>
      <c r="H8" s="5" t="s">
        <v>1650</v>
      </c>
      <c r="I8" s="5" t="s">
        <v>31</v>
      </c>
      <c r="J8" s="5" t="s">
        <v>31</v>
      </c>
      <c r="K8" s="6">
        <v>0</v>
      </c>
      <c r="L8" s="5" t="s">
        <v>31</v>
      </c>
      <c r="M8" s="6">
        <v>0</v>
      </c>
      <c r="N8" s="34">
        <f>IFERROR(VLOOKUP(C8,'[1]Colombia Radio'!$C$2:$E$97118,2,0),0)</f>
        <v>0</v>
      </c>
      <c r="O8" s="34">
        <f t="shared" si="0"/>
        <v>0</v>
      </c>
      <c r="P8" s="34">
        <f>IFERROR(VLOOKUP(C8,'[1]Colombia Radio'!$C$2:$E$69000,3,0),0)</f>
        <v>0</v>
      </c>
      <c r="Q8" s="34">
        <f>IFERROR(VLOOKUP(C8,'[1]Colombia Radio'!$C$2:$F$69000,4,0),0)</f>
        <v>0</v>
      </c>
      <c r="R8" s="34">
        <f t="shared" si="1"/>
        <v>166642</v>
      </c>
      <c r="S8" s="34">
        <f t="shared" si="2"/>
        <v>166642</v>
      </c>
      <c r="T8" s="35">
        <f t="shared" si="3"/>
        <v>0</v>
      </c>
      <c r="U8" s="5" t="s">
        <v>1651</v>
      </c>
      <c r="V8" s="5" t="s">
        <v>1615</v>
      </c>
      <c r="W8" s="5"/>
    </row>
    <row r="9" spans="1:23" ht="15.75" customHeight="1" x14ac:dyDescent="0.3">
      <c r="A9" s="10">
        <v>8</v>
      </c>
      <c r="B9" s="30" t="s">
        <v>42</v>
      </c>
      <c r="C9" s="30" t="s">
        <v>44</v>
      </c>
      <c r="D9" s="5" t="s">
        <v>31</v>
      </c>
      <c r="E9" s="5" t="s">
        <v>1652</v>
      </c>
      <c r="F9" s="5" t="s">
        <v>1653</v>
      </c>
      <c r="G9" s="6">
        <v>914637</v>
      </c>
      <c r="H9" s="5" t="s">
        <v>1654</v>
      </c>
      <c r="I9" s="5" t="s">
        <v>31</v>
      </c>
      <c r="J9" s="5" t="s">
        <v>31</v>
      </c>
      <c r="K9" s="6">
        <v>0</v>
      </c>
      <c r="L9" s="5" t="s">
        <v>31</v>
      </c>
      <c r="M9" s="6">
        <v>0</v>
      </c>
      <c r="N9" s="7">
        <v>6744579</v>
      </c>
      <c r="O9" s="7">
        <f t="shared" si="0"/>
        <v>249799.22222222222</v>
      </c>
      <c r="P9" s="7">
        <v>397</v>
      </c>
      <c r="Q9" s="7">
        <v>36</v>
      </c>
      <c r="R9" s="7">
        <f t="shared" si="1"/>
        <v>914637</v>
      </c>
      <c r="S9" s="7">
        <f t="shared" si="2"/>
        <v>1164436.2222222222</v>
      </c>
      <c r="T9" s="8">
        <f t="shared" si="3"/>
        <v>0.21452374759134749</v>
      </c>
      <c r="U9" s="5" t="s">
        <v>1655</v>
      </c>
      <c r="V9" s="5" t="s">
        <v>1615</v>
      </c>
      <c r="W9" s="5" t="s">
        <v>49</v>
      </c>
    </row>
    <row r="10" spans="1:23" ht="15.75" customHeight="1" x14ac:dyDescent="0.3">
      <c r="A10" s="3">
        <v>9</v>
      </c>
      <c r="B10" s="17" t="s">
        <v>1656</v>
      </c>
      <c r="C10" s="17" t="s">
        <v>1657</v>
      </c>
      <c r="D10" s="5" t="s">
        <v>31</v>
      </c>
      <c r="E10" s="5" t="s">
        <v>1658</v>
      </c>
      <c r="F10" s="5" t="s">
        <v>1659</v>
      </c>
      <c r="G10" s="6">
        <v>180553</v>
      </c>
      <c r="H10" s="5" t="s">
        <v>1660</v>
      </c>
      <c r="I10" s="5" t="s">
        <v>31</v>
      </c>
      <c r="J10" s="5" t="s">
        <v>31</v>
      </c>
      <c r="K10" s="6">
        <v>0</v>
      </c>
      <c r="L10" s="5" t="s">
        <v>31</v>
      </c>
      <c r="M10" s="6">
        <v>0</v>
      </c>
      <c r="N10" s="34">
        <f>IFERROR(VLOOKUP(C10,'[1]Colombia Radio'!$C$2:$E$97118,2,0),0)</f>
        <v>0</v>
      </c>
      <c r="O10" s="34">
        <f t="shared" si="0"/>
        <v>0</v>
      </c>
      <c r="P10" s="34">
        <f>IFERROR(VLOOKUP(C10,'[1]Colombia Radio'!$C$2:$E$69000,3,0),0)</f>
        <v>0</v>
      </c>
      <c r="Q10" s="34">
        <f>IFERROR(VLOOKUP(C10,'[1]Colombia Radio'!$C$2:$F$69000,4,0),0)</f>
        <v>0</v>
      </c>
      <c r="R10" s="34">
        <f t="shared" si="1"/>
        <v>180553</v>
      </c>
      <c r="S10" s="34">
        <f t="shared" si="2"/>
        <v>180553</v>
      </c>
      <c r="T10" s="35">
        <f t="shared" si="3"/>
        <v>0</v>
      </c>
      <c r="U10" s="5" t="s">
        <v>1661</v>
      </c>
      <c r="V10" s="5" t="s">
        <v>1615</v>
      </c>
      <c r="W10" s="5"/>
    </row>
    <row r="11" spans="1:23" ht="15.75" customHeight="1" x14ac:dyDescent="0.3">
      <c r="A11" s="10">
        <v>10</v>
      </c>
      <c r="B11" s="31" t="s">
        <v>136</v>
      </c>
      <c r="C11" s="31" t="s">
        <v>138</v>
      </c>
      <c r="D11" s="11" t="s">
        <v>31</v>
      </c>
      <c r="E11" s="11" t="s">
        <v>1662</v>
      </c>
      <c r="F11" s="11" t="s">
        <v>1663</v>
      </c>
      <c r="G11" s="12">
        <v>595880</v>
      </c>
      <c r="H11" s="11" t="s">
        <v>1664</v>
      </c>
      <c r="I11" s="11" t="s">
        <v>465</v>
      </c>
      <c r="J11" s="11" t="s">
        <v>1665</v>
      </c>
      <c r="K11" s="12">
        <v>6021</v>
      </c>
      <c r="L11" s="11" t="s">
        <v>1666</v>
      </c>
      <c r="M11" s="12">
        <v>0</v>
      </c>
      <c r="N11" s="13">
        <v>12937344</v>
      </c>
      <c r="O11" s="13">
        <f t="shared" si="0"/>
        <v>479160.88888888888</v>
      </c>
      <c r="P11" s="13">
        <v>683</v>
      </c>
      <c r="Q11" s="13">
        <v>17</v>
      </c>
      <c r="R11" s="13">
        <f t="shared" si="1"/>
        <v>601901</v>
      </c>
      <c r="S11" s="13">
        <f t="shared" si="2"/>
        <v>1081061.888888889</v>
      </c>
      <c r="T11" s="14">
        <f t="shared" si="3"/>
        <v>0.44323169081593328</v>
      </c>
      <c r="U11" s="11" t="s">
        <v>1667</v>
      </c>
      <c r="V11" s="11" t="s">
        <v>1615</v>
      </c>
      <c r="W11" s="11" t="s">
        <v>146</v>
      </c>
    </row>
    <row r="12" spans="1:23" ht="15.75" customHeight="1" x14ac:dyDescent="0.3">
      <c r="A12" s="3">
        <v>11</v>
      </c>
      <c r="B12" s="31" t="s">
        <v>116</v>
      </c>
      <c r="C12" s="31" t="s">
        <v>118</v>
      </c>
      <c r="D12" s="5" t="s">
        <v>31</v>
      </c>
      <c r="E12" s="5" t="s">
        <v>1668</v>
      </c>
      <c r="F12" s="5" t="s">
        <v>1669</v>
      </c>
      <c r="G12" s="6">
        <v>751089</v>
      </c>
      <c r="H12" s="5" t="s">
        <v>1670</v>
      </c>
      <c r="I12" s="5" t="s">
        <v>1671</v>
      </c>
      <c r="J12" s="5" t="s">
        <v>1672</v>
      </c>
      <c r="K12" s="6">
        <v>15642</v>
      </c>
      <c r="L12" s="5" t="s">
        <v>1673</v>
      </c>
      <c r="M12" s="6">
        <v>0</v>
      </c>
      <c r="N12" s="7">
        <v>8384257</v>
      </c>
      <c r="O12" s="7">
        <f t="shared" si="0"/>
        <v>310528.03703703702</v>
      </c>
      <c r="P12" s="7">
        <v>449</v>
      </c>
      <c r="Q12" s="7">
        <v>28</v>
      </c>
      <c r="R12" s="7">
        <f t="shared" si="1"/>
        <v>766731</v>
      </c>
      <c r="S12" s="7">
        <f t="shared" si="2"/>
        <v>1077259.0370370371</v>
      </c>
      <c r="T12" s="8">
        <f t="shared" si="3"/>
        <v>0.28825753728753434</v>
      </c>
      <c r="U12" s="5" t="s">
        <v>1674</v>
      </c>
      <c r="V12" s="5" t="s">
        <v>1615</v>
      </c>
      <c r="W12" s="5" t="s">
        <v>126</v>
      </c>
    </row>
    <row r="13" spans="1:23" ht="15.75" customHeight="1" x14ac:dyDescent="0.3">
      <c r="A13" s="10">
        <v>12</v>
      </c>
      <c r="B13" s="30" t="s">
        <v>96</v>
      </c>
      <c r="C13" s="30" t="s">
        <v>98</v>
      </c>
      <c r="D13" s="11" t="s">
        <v>31</v>
      </c>
      <c r="E13" s="11" t="s">
        <v>1675</v>
      </c>
      <c r="F13" s="11" t="s">
        <v>1676</v>
      </c>
      <c r="G13" s="12">
        <v>785028</v>
      </c>
      <c r="H13" s="11" t="s">
        <v>1677</v>
      </c>
      <c r="I13" s="11" t="s">
        <v>31</v>
      </c>
      <c r="J13" s="11" t="s">
        <v>31</v>
      </c>
      <c r="K13" s="12">
        <v>0</v>
      </c>
      <c r="L13" s="11" t="s">
        <v>31</v>
      </c>
      <c r="M13" s="12">
        <v>0</v>
      </c>
      <c r="N13" s="13">
        <v>6766458</v>
      </c>
      <c r="O13" s="13">
        <f t="shared" si="0"/>
        <v>250609.55555555556</v>
      </c>
      <c r="P13" s="13">
        <v>358</v>
      </c>
      <c r="Q13" s="13">
        <v>35</v>
      </c>
      <c r="R13" s="13">
        <f t="shared" si="1"/>
        <v>785028</v>
      </c>
      <c r="S13" s="13">
        <f t="shared" si="2"/>
        <v>1035637.5555555555</v>
      </c>
      <c r="T13" s="14">
        <f t="shared" si="3"/>
        <v>0.24198577408784586</v>
      </c>
      <c r="U13" s="11" t="s">
        <v>1678</v>
      </c>
      <c r="V13" s="11" t="s">
        <v>1615</v>
      </c>
      <c r="W13" s="11"/>
    </row>
    <row r="14" spans="1:23" ht="15.75" customHeight="1" x14ac:dyDescent="0.3">
      <c r="A14" s="3">
        <v>13</v>
      </c>
      <c r="B14" s="31" t="s">
        <v>169</v>
      </c>
      <c r="C14" s="31" t="s">
        <v>170</v>
      </c>
      <c r="D14" s="5" t="s">
        <v>31</v>
      </c>
      <c r="E14" s="5" t="s">
        <v>1679</v>
      </c>
      <c r="F14" s="5" t="s">
        <v>1680</v>
      </c>
      <c r="G14" s="6">
        <v>590274</v>
      </c>
      <c r="H14" s="5" t="s">
        <v>1681</v>
      </c>
      <c r="I14" s="5" t="s">
        <v>1328</v>
      </c>
      <c r="J14" s="5" t="s">
        <v>1682</v>
      </c>
      <c r="K14" s="6">
        <v>12930</v>
      </c>
      <c r="L14" s="5" t="s">
        <v>1683</v>
      </c>
      <c r="M14" s="6">
        <v>0</v>
      </c>
      <c r="N14" s="7">
        <v>10527411</v>
      </c>
      <c r="O14" s="7">
        <f t="shared" si="0"/>
        <v>389904.11111111112</v>
      </c>
      <c r="P14" s="7">
        <v>625</v>
      </c>
      <c r="Q14" s="7">
        <v>22</v>
      </c>
      <c r="R14" s="7">
        <f t="shared" si="1"/>
        <v>603204</v>
      </c>
      <c r="S14" s="7">
        <f t="shared" si="2"/>
        <v>993108.11111111112</v>
      </c>
      <c r="T14" s="8">
        <f t="shared" si="3"/>
        <v>0.39260993516091403</v>
      </c>
      <c r="U14" s="5" t="s">
        <v>1684</v>
      </c>
      <c r="V14" s="5" t="s">
        <v>1615</v>
      </c>
      <c r="W14" s="5"/>
    </row>
    <row r="15" spans="1:23" ht="15.75" customHeight="1" x14ac:dyDescent="0.3">
      <c r="A15" s="10">
        <v>14</v>
      </c>
      <c r="B15" s="31" t="s">
        <v>160</v>
      </c>
      <c r="C15" s="31" t="s">
        <v>162</v>
      </c>
      <c r="D15" s="11" t="s">
        <v>31</v>
      </c>
      <c r="E15" s="11" t="s">
        <v>1685</v>
      </c>
      <c r="F15" s="11" t="s">
        <v>1686</v>
      </c>
      <c r="G15" s="12">
        <v>500472</v>
      </c>
      <c r="H15" s="11" t="s">
        <v>1687</v>
      </c>
      <c r="I15" s="11" t="s">
        <v>31</v>
      </c>
      <c r="J15" s="11" t="s">
        <v>31</v>
      </c>
      <c r="K15" s="12">
        <v>0</v>
      </c>
      <c r="L15" s="11" t="s">
        <v>31</v>
      </c>
      <c r="M15" s="12">
        <v>0</v>
      </c>
      <c r="N15" s="13">
        <v>12807405</v>
      </c>
      <c r="O15" s="13">
        <f t="shared" si="0"/>
        <v>474348.33333333331</v>
      </c>
      <c r="P15" s="13">
        <v>604</v>
      </c>
      <c r="Q15" s="13">
        <v>18</v>
      </c>
      <c r="R15" s="13">
        <f t="shared" si="1"/>
        <v>500472</v>
      </c>
      <c r="S15" s="13">
        <f t="shared" si="2"/>
        <v>974820.33333333326</v>
      </c>
      <c r="T15" s="14">
        <f t="shared" si="3"/>
        <v>0.48660077874179208</v>
      </c>
      <c r="U15" s="11" t="s">
        <v>1688</v>
      </c>
      <c r="V15" s="11" t="s">
        <v>1615</v>
      </c>
      <c r="W15" s="11" t="s">
        <v>167</v>
      </c>
    </row>
    <row r="16" spans="1:23" ht="15.75" customHeight="1" x14ac:dyDescent="0.3">
      <c r="A16" s="3">
        <v>15</v>
      </c>
      <c r="B16" s="31" t="s">
        <v>240</v>
      </c>
      <c r="C16" s="31" t="s">
        <v>241</v>
      </c>
      <c r="D16" s="5" t="s">
        <v>31</v>
      </c>
      <c r="E16" s="5" t="s">
        <v>1689</v>
      </c>
      <c r="F16" s="5" t="s">
        <v>1690</v>
      </c>
      <c r="G16" s="6">
        <v>657537</v>
      </c>
      <c r="H16" s="5" t="s">
        <v>1691</v>
      </c>
      <c r="I16" s="5" t="s">
        <v>31</v>
      </c>
      <c r="J16" s="5" t="s">
        <v>31</v>
      </c>
      <c r="K16" s="6">
        <v>0</v>
      </c>
      <c r="L16" s="5" t="s">
        <v>31</v>
      </c>
      <c r="M16" s="6">
        <v>0</v>
      </c>
      <c r="N16" s="7">
        <v>5704033</v>
      </c>
      <c r="O16" s="7">
        <f t="shared" si="0"/>
        <v>211260.48148148149</v>
      </c>
      <c r="P16" s="7">
        <v>324</v>
      </c>
      <c r="Q16" s="7">
        <v>47</v>
      </c>
      <c r="R16" s="7">
        <f t="shared" si="1"/>
        <v>657537</v>
      </c>
      <c r="S16" s="7">
        <f t="shared" si="2"/>
        <v>868797.48148148146</v>
      </c>
      <c r="T16" s="8">
        <f t="shared" si="3"/>
        <v>0.24316424251280996</v>
      </c>
      <c r="U16" s="5" t="s">
        <v>1692</v>
      </c>
      <c r="V16" s="5" t="s">
        <v>1615</v>
      </c>
      <c r="W16" s="5"/>
    </row>
    <row r="17" spans="1:23" ht="15.75" customHeight="1" x14ac:dyDescent="0.3">
      <c r="A17" s="10">
        <v>16</v>
      </c>
      <c r="B17" s="30" t="s">
        <v>247</v>
      </c>
      <c r="C17" s="30" t="s">
        <v>249</v>
      </c>
      <c r="D17" s="5" t="s">
        <v>31</v>
      </c>
      <c r="E17" s="5" t="s">
        <v>1693</v>
      </c>
      <c r="F17" s="5" t="s">
        <v>1694</v>
      </c>
      <c r="G17" s="6">
        <v>79932</v>
      </c>
      <c r="H17" s="5" t="s">
        <v>1695</v>
      </c>
      <c r="I17" s="5" t="s">
        <v>1696</v>
      </c>
      <c r="J17" s="5" t="s">
        <v>1697</v>
      </c>
      <c r="K17" s="6">
        <v>1605</v>
      </c>
      <c r="L17" s="5" t="s">
        <v>1698</v>
      </c>
      <c r="M17" s="6">
        <v>0</v>
      </c>
      <c r="N17" s="34">
        <v>0</v>
      </c>
      <c r="O17" s="34">
        <f t="shared" si="0"/>
        <v>0</v>
      </c>
      <c r="P17" s="34">
        <v>0</v>
      </c>
      <c r="Q17" s="34">
        <v>0</v>
      </c>
      <c r="R17" s="34">
        <f t="shared" si="1"/>
        <v>81537</v>
      </c>
      <c r="S17" s="34">
        <f t="shared" si="2"/>
        <v>81537</v>
      </c>
      <c r="T17" s="35">
        <f t="shared" si="3"/>
        <v>0</v>
      </c>
      <c r="U17" s="5" t="s">
        <v>1699</v>
      </c>
      <c r="V17" s="5" t="s">
        <v>1615</v>
      </c>
      <c r="W17" s="5"/>
    </row>
    <row r="18" spans="1:23" ht="15.75" customHeight="1" x14ac:dyDescent="0.3">
      <c r="A18" s="3">
        <v>17</v>
      </c>
      <c r="B18" s="31" t="s">
        <v>258</v>
      </c>
      <c r="C18" s="31" t="s">
        <v>259</v>
      </c>
      <c r="D18" s="11" t="s">
        <v>31</v>
      </c>
      <c r="E18" s="11" t="s">
        <v>1700</v>
      </c>
      <c r="F18" s="11" t="s">
        <v>1701</v>
      </c>
      <c r="G18" s="12">
        <v>495122</v>
      </c>
      <c r="H18" s="11" t="s">
        <v>1702</v>
      </c>
      <c r="I18" s="11" t="s">
        <v>1703</v>
      </c>
      <c r="J18" s="11" t="s">
        <v>1704</v>
      </c>
      <c r="K18" s="12">
        <v>2165</v>
      </c>
      <c r="L18" s="11" t="s">
        <v>1705</v>
      </c>
      <c r="M18" s="12">
        <v>0</v>
      </c>
      <c r="N18" s="34">
        <v>0</v>
      </c>
      <c r="O18" s="34">
        <f t="shared" si="0"/>
        <v>0</v>
      </c>
      <c r="P18" s="34">
        <v>0</v>
      </c>
      <c r="Q18" s="34">
        <v>0</v>
      </c>
      <c r="R18" s="34">
        <f t="shared" si="1"/>
        <v>497287</v>
      </c>
      <c r="S18" s="34">
        <f t="shared" si="2"/>
        <v>497287</v>
      </c>
      <c r="T18" s="35">
        <f t="shared" si="3"/>
        <v>0</v>
      </c>
      <c r="U18" s="11" t="s">
        <v>1706</v>
      </c>
      <c r="V18" s="11" t="s">
        <v>1615</v>
      </c>
      <c r="W18" s="11" t="s">
        <v>267</v>
      </c>
    </row>
    <row r="19" spans="1:23" ht="15.75" customHeight="1" x14ac:dyDescent="0.3">
      <c r="A19" s="10">
        <v>18</v>
      </c>
      <c r="B19" s="30" t="s">
        <v>220</v>
      </c>
      <c r="C19" s="30" t="s">
        <v>222</v>
      </c>
      <c r="D19" s="11" t="s">
        <v>31</v>
      </c>
      <c r="E19" s="11" t="s">
        <v>1707</v>
      </c>
      <c r="F19" s="11" t="s">
        <v>1708</v>
      </c>
      <c r="G19" s="12">
        <v>593441</v>
      </c>
      <c r="H19" s="11" t="s">
        <v>1709</v>
      </c>
      <c r="I19" s="11" t="s">
        <v>1710</v>
      </c>
      <c r="J19" s="11" t="s">
        <v>1711</v>
      </c>
      <c r="K19" s="12">
        <v>12060</v>
      </c>
      <c r="L19" s="11" t="s">
        <v>1712</v>
      </c>
      <c r="M19" s="12">
        <v>0</v>
      </c>
      <c r="N19" s="13">
        <v>6094014</v>
      </c>
      <c r="O19" s="13">
        <f t="shared" si="0"/>
        <v>225704.22222222222</v>
      </c>
      <c r="P19" s="13">
        <v>347</v>
      </c>
      <c r="Q19" s="13">
        <v>44</v>
      </c>
      <c r="R19" s="13">
        <f t="shared" si="1"/>
        <v>605501</v>
      </c>
      <c r="S19" s="13">
        <f t="shared" si="2"/>
        <v>831205.22222222225</v>
      </c>
      <c r="T19" s="14">
        <f t="shared" si="3"/>
        <v>0.27153850359457959</v>
      </c>
      <c r="U19" s="11" t="s">
        <v>1713</v>
      </c>
      <c r="V19" s="11" t="s">
        <v>1615</v>
      </c>
      <c r="W19" s="11" t="s">
        <v>230</v>
      </c>
    </row>
    <row r="20" spans="1:23" ht="15.75" customHeight="1" x14ac:dyDescent="0.3">
      <c r="A20" s="3">
        <v>19</v>
      </c>
      <c r="B20" s="31" t="s">
        <v>128</v>
      </c>
      <c r="C20" s="31" t="s">
        <v>130</v>
      </c>
      <c r="D20" s="5" t="s">
        <v>31</v>
      </c>
      <c r="E20" s="5" t="s">
        <v>1714</v>
      </c>
      <c r="F20" s="5" t="s">
        <v>1715</v>
      </c>
      <c r="G20" s="6">
        <v>59208</v>
      </c>
      <c r="H20" s="5" t="s">
        <v>1716</v>
      </c>
      <c r="I20" s="5" t="s">
        <v>31</v>
      </c>
      <c r="J20" s="5" t="s">
        <v>31</v>
      </c>
      <c r="K20" s="6">
        <v>0</v>
      </c>
      <c r="L20" s="5" t="s">
        <v>31</v>
      </c>
      <c r="M20" s="6">
        <v>0</v>
      </c>
      <c r="N20" s="34">
        <f>IFERROR(VLOOKUP(C20,'[1]Colombia Radio'!$C$2:$E$97118,2,0),0)</f>
        <v>0</v>
      </c>
      <c r="O20" s="34">
        <f t="shared" si="0"/>
        <v>0</v>
      </c>
      <c r="P20" s="34">
        <f>IFERROR(VLOOKUP(C20,'[1]Colombia Radio'!$C$2:$E$69000,3,0),0)</f>
        <v>0</v>
      </c>
      <c r="Q20" s="34">
        <f>IFERROR(VLOOKUP(C20,'[1]Colombia Radio'!$C$2:$F$69000,4,0),0)</f>
        <v>0</v>
      </c>
      <c r="R20" s="34">
        <f t="shared" si="1"/>
        <v>59208</v>
      </c>
      <c r="S20" s="34">
        <f t="shared" si="2"/>
        <v>59208</v>
      </c>
      <c r="T20" s="35">
        <f t="shared" si="3"/>
        <v>0</v>
      </c>
      <c r="U20" s="5" t="s">
        <v>1717</v>
      </c>
      <c r="V20" s="5" t="s">
        <v>1615</v>
      </c>
      <c r="W20" s="5"/>
    </row>
    <row r="21" spans="1:23" ht="15.75" customHeight="1" x14ac:dyDescent="0.3">
      <c r="A21" s="10">
        <v>20</v>
      </c>
      <c r="B21" s="31" t="s">
        <v>199</v>
      </c>
      <c r="C21" s="31" t="s">
        <v>201</v>
      </c>
      <c r="D21" s="5" t="s">
        <v>31</v>
      </c>
      <c r="E21" s="5" t="s">
        <v>1718</v>
      </c>
      <c r="F21" s="5" t="s">
        <v>1719</v>
      </c>
      <c r="G21" s="6">
        <v>726810</v>
      </c>
      <c r="H21" s="5" t="s">
        <v>1720</v>
      </c>
      <c r="I21" s="5" t="s">
        <v>31</v>
      </c>
      <c r="J21" s="5" t="s">
        <v>31</v>
      </c>
      <c r="K21" s="6">
        <v>0</v>
      </c>
      <c r="L21" s="5" t="s">
        <v>31</v>
      </c>
      <c r="M21" s="6">
        <v>0</v>
      </c>
      <c r="N21" s="7">
        <v>1111794</v>
      </c>
      <c r="O21" s="7">
        <f t="shared" si="0"/>
        <v>41177.555555555555</v>
      </c>
      <c r="P21" s="7">
        <v>47</v>
      </c>
      <c r="Q21" s="7">
        <v>682</v>
      </c>
      <c r="R21" s="7">
        <f t="shared" si="1"/>
        <v>726810</v>
      </c>
      <c r="S21" s="7">
        <f t="shared" si="2"/>
        <v>767987.5555555555</v>
      </c>
      <c r="T21" s="8">
        <f t="shared" si="3"/>
        <v>5.361747759801664E-2</v>
      </c>
      <c r="U21" s="5" t="s">
        <v>1721</v>
      </c>
      <c r="V21" s="5" t="s">
        <v>1615</v>
      </c>
      <c r="W21" s="5" t="s">
        <v>206</v>
      </c>
    </row>
    <row r="22" spans="1:23" ht="15.75" customHeight="1" x14ac:dyDescent="0.3">
      <c r="A22" s="3">
        <v>21</v>
      </c>
      <c r="B22" s="30" t="s">
        <v>232</v>
      </c>
      <c r="C22" s="30" t="s">
        <v>233</v>
      </c>
      <c r="D22" s="11" t="s">
        <v>31</v>
      </c>
      <c r="E22" s="11" t="s">
        <v>1722</v>
      </c>
      <c r="F22" s="11" t="s">
        <v>1723</v>
      </c>
      <c r="G22" s="12">
        <v>743106</v>
      </c>
      <c r="H22" s="11" t="s">
        <v>1724</v>
      </c>
      <c r="I22" s="11" t="s">
        <v>31</v>
      </c>
      <c r="J22" s="11" t="s">
        <v>31</v>
      </c>
      <c r="K22" s="12">
        <v>0</v>
      </c>
      <c r="L22" s="11" t="s">
        <v>31</v>
      </c>
      <c r="M22" s="12">
        <v>0</v>
      </c>
      <c r="N22" s="13">
        <v>0</v>
      </c>
      <c r="O22" s="13">
        <f t="shared" si="0"/>
        <v>0</v>
      </c>
      <c r="P22" s="13">
        <v>0</v>
      </c>
      <c r="Q22" s="13">
        <v>0</v>
      </c>
      <c r="R22" s="13">
        <f t="shared" si="1"/>
        <v>743106</v>
      </c>
      <c r="S22" s="13">
        <f t="shared" si="2"/>
        <v>743106</v>
      </c>
      <c r="T22" s="14">
        <f t="shared" si="3"/>
        <v>0</v>
      </c>
      <c r="U22" s="11" t="s">
        <v>1725</v>
      </c>
      <c r="V22" s="11" t="s">
        <v>1615</v>
      </c>
      <c r="W22" s="11" t="s">
        <v>238</v>
      </c>
    </row>
    <row r="23" spans="1:23" ht="15.75" customHeight="1" x14ac:dyDescent="0.3">
      <c r="A23" s="10">
        <v>22</v>
      </c>
      <c r="B23" s="31" t="s">
        <v>190</v>
      </c>
      <c r="C23" s="31" t="s">
        <v>192</v>
      </c>
      <c r="D23" s="5" t="s">
        <v>31</v>
      </c>
      <c r="E23" s="5" t="s">
        <v>1726</v>
      </c>
      <c r="F23" s="5" t="s">
        <v>1727</v>
      </c>
      <c r="G23" s="6">
        <v>496920</v>
      </c>
      <c r="H23" s="5" t="s">
        <v>1728</v>
      </c>
      <c r="I23" s="5" t="s">
        <v>31</v>
      </c>
      <c r="J23" s="5" t="s">
        <v>31</v>
      </c>
      <c r="K23" s="6">
        <v>0</v>
      </c>
      <c r="L23" s="5" t="s">
        <v>31</v>
      </c>
      <c r="M23" s="6">
        <v>0</v>
      </c>
      <c r="N23" s="7">
        <v>6522551</v>
      </c>
      <c r="O23" s="7">
        <f t="shared" si="0"/>
        <v>241575.96296296295</v>
      </c>
      <c r="P23" s="7">
        <v>316</v>
      </c>
      <c r="Q23" s="7">
        <v>38</v>
      </c>
      <c r="R23" s="7">
        <f t="shared" si="1"/>
        <v>496920</v>
      </c>
      <c r="S23" s="7">
        <f t="shared" si="2"/>
        <v>738495.96296296292</v>
      </c>
      <c r="T23" s="8">
        <f t="shared" si="3"/>
        <v>0.32711886737162632</v>
      </c>
      <c r="U23" s="5" t="s">
        <v>1729</v>
      </c>
      <c r="V23" s="5" t="s">
        <v>1615</v>
      </c>
      <c r="W23" s="5" t="s">
        <v>197</v>
      </c>
    </row>
    <row r="24" spans="1:23" ht="15.75" customHeight="1" x14ac:dyDescent="0.3">
      <c r="A24" s="3">
        <v>23</v>
      </c>
      <c r="B24" s="17" t="s">
        <v>1730</v>
      </c>
      <c r="C24" s="17" t="s">
        <v>1731</v>
      </c>
      <c r="D24" s="11" t="s">
        <v>31</v>
      </c>
      <c r="E24" s="11" t="s">
        <v>1732</v>
      </c>
      <c r="F24" s="11" t="s">
        <v>1733</v>
      </c>
      <c r="G24" s="12">
        <v>348350</v>
      </c>
      <c r="H24" s="11" t="s">
        <v>1734</v>
      </c>
      <c r="I24" s="11" t="s">
        <v>1735</v>
      </c>
      <c r="J24" s="11" t="s">
        <v>1736</v>
      </c>
      <c r="K24" s="12">
        <v>8333</v>
      </c>
      <c r="L24" s="11" t="s">
        <v>1737</v>
      </c>
      <c r="M24" s="12">
        <v>0</v>
      </c>
      <c r="N24" s="13">
        <v>9372593</v>
      </c>
      <c r="O24" s="13">
        <f t="shared" si="0"/>
        <v>347133.0740740741</v>
      </c>
      <c r="P24" s="13">
        <v>434</v>
      </c>
      <c r="Q24" s="13">
        <v>24</v>
      </c>
      <c r="R24" s="13">
        <f t="shared" si="1"/>
        <v>356683</v>
      </c>
      <c r="S24" s="13">
        <f t="shared" si="2"/>
        <v>703816.07407407416</v>
      </c>
      <c r="T24" s="14">
        <f t="shared" si="3"/>
        <v>0.4932156096758023</v>
      </c>
      <c r="U24" s="11" t="s">
        <v>1738</v>
      </c>
      <c r="V24" s="11" t="s">
        <v>1615</v>
      </c>
      <c r="W24" s="11" t="s">
        <v>1739</v>
      </c>
    </row>
    <row r="25" spans="1:23" ht="15.75" customHeight="1" x14ac:dyDescent="0.3">
      <c r="A25" s="10">
        <v>24</v>
      </c>
      <c r="B25" s="30" t="s">
        <v>208</v>
      </c>
      <c r="C25" s="30" t="s">
        <v>210</v>
      </c>
      <c r="D25" s="5" t="s">
        <v>31</v>
      </c>
      <c r="E25" s="5" t="s">
        <v>1740</v>
      </c>
      <c r="F25" s="5" t="s">
        <v>1741</v>
      </c>
      <c r="G25" s="6">
        <v>387452</v>
      </c>
      <c r="H25" s="5" t="s">
        <v>1742</v>
      </c>
      <c r="I25" s="5" t="s">
        <v>1503</v>
      </c>
      <c r="J25" s="5" t="s">
        <v>1743</v>
      </c>
      <c r="K25" s="6">
        <v>7742</v>
      </c>
      <c r="L25" s="5" t="s">
        <v>1744</v>
      </c>
      <c r="M25" s="6">
        <v>0</v>
      </c>
      <c r="N25" s="7">
        <v>8039867</v>
      </c>
      <c r="O25" s="7">
        <f t="shared" si="0"/>
        <v>297772.85185185185</v>
      </c>
      <c r="P25" s="7">
        <v>344</v>
      </c>
      <c r="Q25" s="7">
        <v>30</v>
      </c>
      <c r="R25" s="7">
        <f t="shared" si="1"/>
        <v>395194</v>
      </c>
      <c r="S25" s="7">
        <f t="shared" si="2"/>
        <v>692966.85185185191</v>
      </c>
      <c r="T25" s="8">
        <f t="shared" si="3"/>
        <v>0.42970720901886972</v>
      </c>
      <c r="U25" s="5" t="s">
        <v>1745</v>
      </c>
      <c r="V25" s="5" t="s">
        <v>1615</v>
      </c>
      <c r="W25" s="5" t="s">
        <v>218</v>
      </c>
    </row>
    <row r="26" spans="1:23" ht="15.75" customHeight="1" x14ac:dyDescent="0.3">
      <c r="A26" s="3">
        <v>25</v>
      </c>
      <c r="B26" s="30" t="s">
        <v>148</v>
      </c>
      <c r="C26" s="30" t="s">
        <v>150</v>
      </c>
      <c r="D26" s="11" t="s">
        <v>31</v>
      </c>
      <c r="E26" s="11" t="s">
        <v>1746</v>
      </c>
      <c r="F26" s="11" t="s">
        <v>1747</v>
      </c>
      <c r="G26" s="12">
        <v>369058</v>
      </c>
      <c r="H26" s="11" t="s">
        <v>1748</v>
      </c>
      <c r="I26" s="11" t="s">
        <v>1749</v>
      </c>
      <c r="J26" s="11" t="s">
        <v>1750</v>
      </c>
      <c r="K26" s="12">
        <v>7586</v>
      </c>
      <c r="L26" s="11" t="s">
        <v>1751</v>
      </c>
      <c r="M26" s="12">
        <v>0</v>
      </c>
      <c r="N26" s="13">
        <v>7990358</v>
      </c>
      <c r="O26" s="13">
        <f t="shared" si="0"/>
        <v>295939.18518518517</v>
      </c>
      <c r="P26" s="13">
        <v>526</v>
      </c>
      <c r="Q26" s="13">
        <v>31</v>
      </c>
      <c r="R26" s="13">
        <f t="shared" si="1"/>
        <v>376644</v>
      </c>
      <c r="S26" s="13">
        <f t="shared" si="2"/>
        <v>672583.18518518517</v>
      </c>
      <c r="T26" s="14">
        <f t="shared" si="3"/>
        <v>0.44000384146342131</v>
      </c>
      <c r="U26" s="11" t="s">
        <v>1752</v>
      </c>
      <c r="V26" s="11" t="s">
        <v>1615</v>
      </c>
      <c r="W26" s="11" t="s">
        <v>158</v>
      </c>
    </row>
    <row r="27" spans="1:23" ht="15.75" customHeight="1" x14ac:dyDescent="0.3">
      <c r="A27" s="10">
        <v>26</v>
      </c>
      <c r="B27" s="31" t="s">
        <v>471</v>
      </c>
      <c r="C27" s="31" t="s">
        <v>473</v>
      </c>
      <c r="D27" s="5" t="s">
        <v>31</v>
      </c>
      <c r="E27" s="5" t="s">
        <v>1753</v>
      </c>
      <c r="F27" s="5" t="s">
        <v>1754</v>
      </c>
      <c r="G27" s="6">
        <v>657045</v>
      </c>
      <c r="H27" s="5" t="s">
        <v>1755</v>
      </c>
      <c r="I27" s="5" t="s">
        <v>31</v>
      </c>
      <c r="J27" s="5" t="s">
        <v>31</v>
      </c>
      <c r="K27" s="6">
        <v>0</v>
      </c>
      <c r="L27" s="5" t="s">
        <v>31</v>
      </c>
      <c r="M27" s="6">
        <v>0</v>
      </c>
      <c r="N27" s="7">
        <v>0</v>
      </c>
      <c r="O27" s="7">
        <f t="shared" si="0"/>
        <v>0</v>
      </c>
      <c r="P27" s="7">
        <v>0</v>
      </c>
      <c r="Q27" s="7">
        <v>0</v>
      </c>
      <c r="R27" s="7">
        <f t="shared" si="1"/>
        <v>657045</v>
      </c>
      <c r="S27" s="7">
        <f t="shared" si="2"/>
        <v>657045</v>
      </c>
      <c r="T27" s="8">
        <f t="shared" si="3"/>
        <v>0</v>
      </c>
      <c r="U27" s="5" t="s">
        <v>1756</v>
      </c>
      <c r="V27" s="5" t="s">
        <v>1615</v>
      </c>
      <c r="W27" s="5" t="s">
        <v>478</v>
      </c>
    </row>
    <row r="28" spans="1:23" ht="15.75" customHeight="1" x14ac:dyDescent="0.3">
      <c r="A28" s="3">
        <v>27</v>
      </c>
      <c r="B28" s="30" t="s">
        <v>283</v>
      </c>
      <c r="C28" s="30" t="s">
        <v>285</v>
      </c>
      <c r="D28" s="11" t="s">
        <v>31</v>
      </c>
      <c r="E28" s="11" t="s">
        <v>1757</v>
      </c>
      <c r="F28" s="11" t="s">
        <v>1758</v>
      </c>
      <c r="G28" s="12">
        <v>453897</v>
      </c>
      <c r="H28" s="11" t="s">
        <v>1759</v>
      </c>
      <c r="I28" s="11" t="s">
        <v>1760</v>
      </c>
      <c r="J28" s="11" t="s">
        <v>1761</v>
      </c>
      <c r="K28" s="12">
        <v>8523</v>
      </c>
      <c r="L28" s="11" t="s">
        <v>1762</v>
      </c>
      <c r="M28" s="12">
        <v>0</v>
      </c>
      <c r="N28" s="13">
        <v>4835666</v>
      </c>
      <c r="O28" s="13">
        <f t="shared" si="0"/>
        <v>179098.74074074073</v>
      </c>
      <c r="P28" s="13">
        <v>321</v>
      </c>
      <c r="Q28" s="13">
        <v>57</v>
      </c>
      <c r="R28" s="13">
        <f t="shared" si="1"/>
        <v>462420</v>
      </c>
      <c r="S28" s="13">
        <f t="shared" si="2"/>
        <v>641518.74074074067</v>
      </c>
      <c r="T28" s="14">
        <f t="shared" si="3"/>
        <v>0.27917928092629263</v>
      </c>
      <c r="U28" s="11" t="s">
        <v>1763</v>
      </c>
      <c r="V28" s="11" t="s">
        <v>1615</v>
      </c>
      <c r="W28" s="11" t="s">
        <v>293</v>
      </c>
    </row>
    <row r="29" spans="1:23" ht="14.4" x14ac:dyDescent="0.3">
      <c r="A29" s="10">
        <v>28</v>
      </c>
      <c r="B29" s="30" t="s">
        <v>304</v>
      </c>
      <c r="C29" s="30" t="s">
        <v>306</v>
      </c>
      <c r="D29" s="5" t="s">
        <v>31</v>
      </c>
      <c r="E29" s="5" t="s">
        <v>1764</v>
      </c>
      <c r="F29" s="5" t="s">
        <v>1765</v>
      </c>
      <c r="G29" s="6">
        <v>422764</v>
      </c>
      <c r="H29" s="5" t="s">
        <v>1766</v>
      </c>
      <c r="I29" s="5" t="s">
        <v>31</v>
      </c>
      <c r="J29" s="5" t="s">
        <v>31</v>
      </c>
      <c r="K29" s="6">
        <v>0</v>
      </c>
      <c r="L29" s="5" t="s">
        <v>31</v>
      </c>
      <c r="M29" s="6">
        <v>0</v>
      </c>
      <c r="N29" s="7">
        <v>5798898</v>
      </c>
      <c r="O29" s="7">
        <f t="shared" si="0"/>
        <v>214774</v>
      </c>
      <c r="P29" s="7">
        <v>321</v>
      </c>
      <c r="Q29" s="7">
        <v>46</v>
      </c>
      <c r="R29" s="7">
        <f t="shared" si="1"/>
        <v>422764</v>
      </c>
      <c r="S29" s="7">
        <f t="shared" si="2"/>
        <v>637538</v>
      </c>
      <c r="T29" s="8">
        <f t="shared" si="3"/>
        <v>0.33688031144810193</v>
      </c>
      <c r="U29" s="5" t="s">
        <v>1767</v>
      </c>
      <c r="V29" s="5" t="s">
        <v>1615</v>
      </c>
      <c r="W29" s="5" t="s">
        <v>311</v>
      </c>
    </row>
    <row r="30" spans="1:23" ht="14.4" x14ac:dyDescent="0.3">
      <c r="A30" s="3">
        <v>29</v>
      </c>
      <c r="B30" s="31" t="s">
        <v>208</v>
      </c>
      <c r="C30" s="31" t="s">
        <v>277</v>
      </c>
      <c r="D30" s="11" t="s">
        <v>31</v>
      </c>
      <c r="E30" s="11" t="s">
        <v>1768</v>
      </c>
      <c r="F30" s="11" t="s">
        <v>1769</v>
      </c>
      <c r="G30" s="12">
        <v>330912</v>
      </c>
      <c r="H30" s="11" t="s">
        <v>1770</v>
      </c>
      <c r="I30" s="11" t="s">
        <v>31</v>
      </c>
      <c r="J30" s="11" t="s">
        <v>31</v>
      </c>
      <c r="K30" s="12">
        <v>0</v>
      </c>
      <c r="L30" s="11" t="s">
        <v>31</v>
      </c>
      <c r="M30" s="12">
        <v>0</v>
      </c>
      <c r="N30" s="13">
        <v>8215553</v>
      </c>
      <c r="O30" s="13">
        <f t="shared" si="0"/>
        <v>304279.74074074073</v>
      </c>
      <c r="P30" s="13">
        <v>421</v>
      </c>
      <c r="Q30" s="13">
        <v>29</v>
      </c>
      <c r="R30" s="13">
        <f t="shared" si="1"/>
        <v>330912</v>
      </c>
      <c r="S30" s="13">
        <f t="shared" si="2"/>
        <v>635191.74074074067</v>
      </c>
      <c r="T30" s="14">
        <f t="shared" si="3"/>
        <v>0.47903604726645099</v>
      </c>
      <c r="U30" s="11" t="s">
        <v>1771</v>
      </c>
      <c r="V30" s="11" t="s">
        <v>1615</v>
      </c>
      <c r="W30" s="11"/>
    </row>
    <row r="31" spans="1:23" ht="14.4" x14ac:dyDescent="0.3">
      <c r="A31" s="10">
        <v>30</v>
      </c>
      <c r="B31" s="30" t="s">
        <v>295</v>
      </c>
      <c r="C31" s="30" t="s">
        <v>297</v>
      </c>
      <c r="D31" s="5" t="s">
        <v>31</v>
      </c>
      <c r="E31" s="5" t="s">
        <v>1772</v>
      </c>
      <c r="F31" s="5" t="s">
        <v>1773</v>
      </c>
      <c r="G31" s="6">
        <v>506868</v>
      </c>
      <c r="H31" s="5" t="s">
        <v>1774</v>
      </c>
      <c r="I31" s="5" t="s">
        <v>31</v>
      </c>
      <c r="J31" s="5" t="s">
        <v>31</v>
      </c>
      <c r="K31" s="6">
        <v>0</v>
      </c>
      <c r="L31" s="5" t="s">
        <v>31</v>
      </c>
      <c r="M31" s="6">
        <v>0</v>
      </c>
      <c r="N31" s="7">
        <v>2480701</v>
      </c>
      <c r="O31" s="7">
        <f t="shared" si="0"/>
        <v>91877.814814814818</v>
      </c>
      <c r="P31" s="7">
        <v>150</v>
      </c>
      <c r="Q31" s="7">
        <v>137</v>
      </c>
      <c r="R31" s="7">
        <f t="shared" si="1"/>
        <v>506868</v>
      </c>
      <c r="S31" s="7">
        <f t="shared" si="2"/>
        <v>598745.81481481483</v>
      </c>
      <c r="T31" s="8">
        <f t="shared" si="3"/>
        <v>0.15345045016010936</v>
      </c>
      <c r="U31" s="5" t="s">
        <v>1775</v>
      </c>
      <c r="V31" s="5" t="s">
        <v>1615</v>
      </c>
      <c r="W31" s="5" t="s">
        <v>302</v>
      </c>
    </row>
    <row r="32" spans="1:23" ht="14.4" x14ac:dyDescent="0.3">
      <c r="A32" s="3">
        <v>31</v>
      </c>
      <c r="B32" s="30" t="s">
        <v>179</v>
      </c>
      <c r="C32" s="30" t="s">
        <v>181</v>
      </c>
      <c r="D32" s="11" t="s">
        <v>31</v>
      </c>
      <c r="E32" s="11" t="s">
        <v>1776</v>
      </c>
      <c r="F32" s="11" t="s">
        <v>1777</v>
      </c>
      <c r="G32" s="12">
        <v>183781</v>
      </c>
      <c r="H32" s="11" t="s">
        <v>1778</v>
      </c>
      <c r="I32" s="11" t="s">
        <v>1779</v>
      </c>
      <c r="J32" s="11" t="s">
        <v>1780</v>
      </c>
      <c r="K32" s="12">
        <v>7535</v>
      </c>
      <c r="L32" s="11" t="s">
        <v>1781</v>
      </c>
      <c r="M32" s="12">
        <v>0</v>
      </c>
      <c r="N32" s="34">
        <f>IFERROR(VLOOKUP(C32,'[1]Colombia Radio'!$C$2:$E$97118,2,0),0)</f>
        <v>0</v>
      </c>
      <c r="O32" s="34">
        <f t="shared" si="0"/>
        <v>0</v>
      </c>
      <c r="P32" s="34">
        <f>IFERROR(VLOOKUP(C32,'[1]Colombia Radio'!$C$2:$E$69000,3,0),0)</f>
        <v>0</v>
      </c>
      <c r="Q32" s="34">
        <f>IFERROR(VLOOKUP(C32,'[1]Colombia Radio'!$C$2:$F$69000,4,0),0)</f>
        <v>0</v>
      </c>
      <c r="R32" s="34">
        <f t="shared" si="1"/>
        <v>191316</v>
      </c>
      <c r="S32" s="34">
        <f t="shared" si="2"/>
        <v>191316</v>
      </c>
      <c r="T32" s="35">
        <f t="shared" si="3"/>
        <v>0</v>
      </c>
      <c r="U32" s="11" t="s">
        <v>1782</v>
      </c>
      <c r="V32" s="11" t="s">
        <v>1615</v>
      </c>
      <c r="W32" s="11"/>
    </row>
    <row r="33" spans="1:23" ht="14.4" x14ac:dyDescent="0.3">
      <c r="A33" s="10">
        <v>32</v>
      </c>
      <c r="B33" s="31" t="s">
        <v>419</v>
      </c>
      <c r="C33" s="31" t="s">
        <v>420</v>
      </c>
      <c r="D33" s="11" t="s">
        <v>31</v>
      </c>
      <c r="E33" s="11" t="s">
        <v>1783</v>
      </c>
      <c r="F33" s="11" t="s">
        <v>1784</v>
      </c>
      <c r="G33" s="12">
        <v>549406</v>
      </c>
      <c r="H33" s="11" t="s">
        <v>1785</v>
      </c>
      <c r="I33" s="11" t="s">
        <v>31</v>
      </c>
      <c r="J33" s="11" t="s">
        <v>31</v>
      </c>
      <c r="K33" s="12">
        <v>0</v>
      </c>
      <c r="L33" s="11" t="s">
        <v>31</v>
      </c>
      <c r="M33" s="12">
        <v>0</v>
      </c>
      <c r="N33" s="13">
        <v>146374</v>
      </c>
      <c r="O33" s="13">
        <f t="shared" si="0"/>
        <v>5421.2592592592591</v>
      </c>
      <c r="P33" s="13">
        <v>19</v>
      </c>
      <c r="Q33" s="13">
        <v>8362</v>
      </c>
      <c r="R33" s="13">
        <f t="shared" si="1"/>
        <v>549406</v>
      </c>
      <c r="S33" s="13">
        <f t="shared" si="2"/>
        <v>554827.25925925921</v>
      </c>
      <c r="T33" s="14">
        <f t="shared" si="3"/>
        <v>9.7710758957609504E-3</v>
      </c>
      <c r="U33" s="11" t="s">
        <v>1786</v>
      </c>
      <c r="V33" s="11" t="s">
        <v>1615</v>
      </c>
      <c r="W33" s="11"/>
    </row>
    <row r="34" spans="1:23" ht="14.4" x14ac:dyDescent="0.3">
      <c r="A34" s="3">
        <v>33</v>
      </c>
      <c r="B34" s="31" t="s">
        <v>639</v>
      </c>
      <c r="C34" s="31" t="s">
        <v>641</v>
      </c>
      <c r="D34" s="5" t="s">
        <v>31</v>
      </c>
      <c r="E34" s="5" t="s">
        <v>1787</v>
      </c>
      <c r="F34" s="5" t="s">
        <v>1788</v>
      </c>
      <c r="G34" s="6">
        <v>332902</v>
      </c>
      <c r="H34" s="5" t="s">
        <v>1789</v>
      </c>
      <c r="I34" s="5" t="s">
        <v>1790</v>
      </c>
      <c r="J34" s="5" t="s">
        <v>1791</v>
      </c>
      <c r="K34" s="6">
        <v>7901</v>
      </c>
      <c r="L34" s="5" t="s">
        <v>1792</v>
      </c>
      <c r="M34" s="6">
        <v>0</v>
      </c>
      <c r="N34" s="7">
        <v>5310649</v>
      </c>
      <c r="O34" s="7">
        <f t="shared" si="0"/>
        <v>196690.70370370371</v>
      </c>
      <c r="P34" s="7">
        <v>280</v>
      </c>
      <c r="Q34" s="7">
        <v>52</v>
      </c>
      <c r="R34" s="7">
        <f t="shared" si="1"/>
        <v>340803</v>
      </c>
      <c r="S34" s="7">
        <f t="shared" si="2"/>
        <v>537493.70370370371</v>
      </c>
      <c r="T34" s="8">
        <f t="shared" si="3"/>
        <v>0.36594047957839987</v>
      </c>
      <c r="U34" s="5" t="s">
        <v>1793</v>
      </c>
      <c r="V34" s="5" t="s">
        <v>1615</v>
      </c>
      <c r="W34" s="5" t="s">
        <v>649</v>
      </c>
    </row>
    <row r="35" spans="1:23" ht="14.4" x14ac:dyDescent="0.3">
      <c r="A35" s="10">
        <v>34</v>
      </c>
      <c r="B35" s="30" t="s">
        <v>381</v>
      </c>
      <c r="C35" s="30" t="s">
        <v>383</v>
      </c>
      <c r="D35" s="11" t="s">
        <v>31</v>
      </c>
      <c r="E35" s="11" t="s">
        <v>1794</v>
      </c>
      <c r="F35" s="11" t="s">
        <v>1795</v>
      </c>
      <c r="G35" s="12">
        <v>368918</v>
      </c>
      <c r="H35" s="11" t="s">
        <v>1796</v>
      </c>
      <c r="I35" s="11" t="s">
        <v>1797</v>
      </c>
      <c r="J35" s="11" t="s">
        <v>1798</v>
      </c>
      <c r="K35" s="12">
        <v>7287</v>
      </c>
      <c r="L35" s="11" t="s">
        <v>1799</v>
      </c>
      <c r="M35" s="12">
        <v>0</v>
      </c>
      <c r="N35" s="13">
        <v>4008487</v>
      </c>
      <c r="O35" s="13">
        <f t="shared" si="0"/>
        <v>148462.48148148149</v>
      </c>
      <c r="P35" s="13">
        <v>222</v>
      </c>
      <c r="Q35" s="13">
        <v>66</v>
      </c>
      <c r="R35" s="13">
        <f t="shared" si="1"/>
        <v>376205</v>
      </c>
      <c r="S35" s="13">
        <f t="shared" si="2"/>
        <v>524667.48148148146</v>
      </c>
      <c r="T35" s="14">
        <f t="shared" si="3"/>
        <v>0.28296490009686559</v>
      </c>
      <c r="U35" s="11" t="s">
        <v>1800</v>
      </c>
      <c r="V35" s="11" t="s">
        <v>1615</v>
      </c>
      <c r="W35" s="11" t="s">
        <v>391</v>
      </c>
    </row>
    <row r="36" spans="1:23" ht="14.4" x14ac:dyDescent="0.3">
      <c r="A36" s="3">
        <v>35</v>
      </c>
      <c r="B36" s="4" t="s">
        <v>410</v>
      </c>
      <c r="C36" s="4" t="s">
        <v>412</v>
      </c>
      <c r="D36" s="5" t="s">
        <v>31</v>
      </c>
      <c r="E36" s="5" t="s">
        <v>1801</v>
      </c>
      <c r="F36" s="5" t="s">
        <v>1802</v>
      </c>
      <c r="G36" s="6">
        <v>486117</v>
      </c>
      <c r="H36" s="5" t="s">
        <v>1803</v>
      </c>
      <c r="I36" s="5" t="s">
        <v>31</v>
      </c>
      <c r="J36" s="5" t="s">
        <v>31</v>
      </c>
      <c r="K36" s="6">
        <v>0</v>
      </c>
      <c r="L36" s="5" t="s">
        <v>31</v>
      </c>
      <c r="M36" s="6">
        <v>0</v>
      </c>
      <c r="N36" s="34">
        <f>IFERROR(VLOOKUP(C36,'[1]Colombia Radio'!$C$2:$E$97118,2,0),0)</f>
        <v>0</v>
      </c>
      <c r="O36" s="34">
        <f t="shared" si="0"/>
        <v>0</v>
      </c>
      <c r="P36" s="34">
        <f>IFERROR(VLOOKUP(C36,'[1]Colombia Radio'!$C$2:$E$69000,3,0),0)</f>
        <v>0</v>
      </c>
      <c r="Q36" s="34">
        <f>IFERROR(VLOOKUP(C36,'[1]Colombia Radio'!$C$2:$F$69000,4,0),0)</f>
        <v>0</v>
      </c>
      <c r="R36" s="34">
        <f t="shared" si="1"/>
        <v>486117</v>
      </c>
      <c r="S36" s="34">
        <f t="shared" si="2"/>
        <v>486117</v>
      </c>
      <c r="T36" s="35">
        <f t="shared" si="3"/>
        <v>0</v>
      </c>
      <c r="U36" s="5" t="s">
        <v>1804</v>
      </c>
      <c r="V36" s="5" t="s">
        <v>1615</v>
      </c>
      <c r="W36" s="5" t="s">
        <v>417</v>
      </c>
    </row>
    <row r="37" spans="1:23" ht="14.4" x14ac:dyDescent="0.3">
      <c r="A37" s="10">
        <v>36</v>
      </c>
      <c r="B37" s="31" t="s">
        <v>526</v>
      </c>
      <c r="C37" s="31" t="s">
        <v>528</v>
      </c>
      <c r="D37" s="11" t="s">
        <v>31</v>
      </c>
      <c r="E37" s="11" t="s">
        <v>1805</v>
      </c>
      <c r="F37" s="11" t="s">
        <v>1806</v>
      </c>
      <c r="G37" s="12">
        <v>416953</v>
      </c>
      <c r="H37" s="11" t="s">
        <v>1807</v>
      </c>
      <c r="I37" s="11" t="s">
        <v>1808</v>
      </c>
      <c r="J37" s="11" t="s">
        <v>1809</v>
      </c>
      <c r="K37" s="12">
        <v>6958</v>
      </c>
      <c r="L37" s="11" t="s">
        <v>1810</v>
      </c>
      <c r="M37" s="12">
        <v>0</v>
      </c>
      <c r="N37" s="13">
        <v>2433568</v>
      </c>
      <c r="O37" s="13">
        <f t="shared" si="0"/>
        <v>90132.148148148146</v>
      </c>
      <c r="P37" s="13">
        <v>116</v>
      </c>
      <c r="Q37" s="13">
        <v>142</v>
      </c>
      <c r="R37" s="13">
        <f t="shared" si="1"/>
        <v>423911</v>
      </c>
      <c r="S37" s="13">
        <f t="shared" si="2"/>
        <v>514043.14814814815</v>
      </c>
      <c r="T37" s="14">
        <f t="shared" si="3"/>
        <v>0.17533965479911795</v>
      </c>
      <c r="U37" s="11" t="s">
        <v>1811</v>
      </c>
      <c r="V37" s="11" t="s">
        <v>1615</v>
      </c>
      <c r="W37" s="11" t="s">
        <v>536</v>
      </c>
    </row>
    <row r="38" spans="1:23" ht="14.4" x14ac:dyDescent="0.3">
      <c r="A38" s="3">
        <v>37</v>
      </c>
      <c r="B38" s="31" t="s">
        <v>313</v>
      </c>
      <c r="C38" s="31" t="s">
        <v>315</v>
      </c>
      <c r="D38" s="5" t="s">
        <v>31</v>
      </c>
      <c r="E38" s="5" t="s">
        <v>1812</v>
      </c>
      <c r="F38" s="5" t="s">
        <v>1813</v>
      </c>
      <c r="G38" s="6">
        <v>394771</v>
      </c>
      <c r="H38" s="5" t="s">
        <v>1814</v>
      </c>
      <c r="I38" s="5" t="s">
        <v>1815</v>
      </c>
      <c r="J38" s="5" t="s">
        <v>1816</v>
      </c>
      <c r="K38" s="6">
        <v>11390</v>
      </c>
      <c r="L38" s="5" t="s">
        <v>1817</v>
      </c>
      <c r="M38" s="6">
        <v>0</v>
      </c>
      <c r="N38" s="7">
        <v>2678561</v>
      </c>
      <c r="O38" s="7">
        <f t="shared" si="0"/>
        <v>99205.962962962964</v>
      </c>
      <c r="P38" s="7">
        <v>197</v>
      </c>
      <c r="Q38" s="7">
        <v>115</v>
      </c>
      <c r="R38" s="7">
        <f t="shared" si="1"/>
        <v>406161</v>
      </c>
      <c r="S38" s="7">
        <f t="shared" si="2"/>
        <v>505366.96296296298</v>
      </c>
      <c r="T38" s="8">
        <f t="shared" si="3"/>
        <v>0.19630480469344314</v>
      </c>
      <c r="U38" s="5" t="s">
        <v>1818</v>
      </c>
      <c r="V38" s="5" t="s">
        <v>1615</v>
      </c>
      <c r="W38" s="5" t="s">
        <v>323</v>
      </c>
    </row>
    <row r="39" spans="1:23" ht="14.4" x14ac:dyDescent="0.3">
      <c r="A39" s="10">
        <v>38</v>
      </c>
      <c r="B39" s="30" t="s">
        <v>1819</v>
      </c>
      <c r="C39" s="30" t="s">
        <v>374</v>
      </c>
      <c r="D39" s="11" t="s">
        <v>31</v>
      </c>
      <c r="E39" s="11" t="s">
        <v>1820</v>
      </c>
      <c r="F39" s="11" t="s">
        <v>1821</v>
      </c>
      <c r="G39" s="12">
        <v>467601</v>
      </c>
      <c r="H39" s="11" t="s">
        <v>1822</v>
      </c>
      <c r="I39" s="11" t="s">
        <v>31</v>
      </c>
      <c r="J39" s="11" t="s">
        <v>31</v>
      </c>
      <c r="K39" s="12">
        <v>0</v>
      </c>
      <c r="L39" s="11" t="s">
        <v>31</v>
      </c>
      <c r="M39" s="12">
        <v>0</v>
      </c>
      <c r="N39" s="13">
        <v>1000492</v>
      </c>
      <c r="O39" s="13">
        <f t="shared" si="0"/>
        <v>37055.259259259263</v>
      </c>
      <c r="P39" s="13">
        <v>52</v>
      </c>
      <c r="Q39" s="13">
        <v>861</v>
      </c>
      <c r="R39" s="13">
        <f t="shared" si="1"/>
        <v>467601</v>
      </c>
      <c r="S39" s="13">
        <f t="shared" si="2"/>
        <v>504656.25925925927</v>
      </c>
      <c r="T39" s="14">
        <f t="shared" si="3"/>
        <v>7.3426730728851822E-2</v>
      </c>
      <c r="U39" s="11" t="s">
        <v>1823</v>
      </c>
      <c r="V39" s="11" t="s">
        <v>1615</v>
      </c>
      <c r="W39" s="11" t="s">
        <v>379</v>
      </c>
    </row>
    <row r="40" spans="1:23" ht="14.4" x14ac:dyDescent="0.3">
      <c r="A40" s="3">
        <v>39</v>
      </c>
      <c r="B40" s="30" t="s">
        <v>548</v>
      </c>
      <c r="C40" s="30" t="s">
        <v>550</v>
      </c>
      <c r="D40" s="5" t="s">
        <v>31</v>
      </c>
      <c r="E40" s="5" t="s">
        <v>1824</v>
      </c>
      <c r="F40" s="5" t="s">
        <v>1825</v>
      </c>
      <c r="G40" s="6">
        <v>333496</v>
      </c>
      <c r="H40" s="5" t="s">
        <v>1826</v>
      </c>
      <c r="I40" s="5" t="s">
        <v>31</v>
      </c>
      <c r="J40" s="5" t="s">
        <v>31</v>
      </c>
      <c r="K40" s="6">
        <v>0</v>
      </c>
      <c r="L40" s="5" t="s">
        <v>31</v>
      </c>
      <c r="M40" s="6">
        <v>0</v>
      </c>
      <c r="N40" s="7">
        <v>4599518</v>
      </c>
      <c r="O40" s="7">
        <f t="shared" si="0"/>
        <v>170352.51851851851</v>
      </c>
      <c r="P40" s="7">
        <v>308</v>
      </c>
      <c r="Q40" s="7">
        <v>59</v>
      </c>
      <c r="R40" s="7">
        <f t="shared" si="1"/>
        <v>333496</v>
      </c>
      <c r="S40" s="7">
        <f t="shared" si="2"/>
        <v>503848.51851851854</v>
      </c>
      <c r="T40" s="8">
        <f t="shared" si="3"/>
        <v>0.33810264842975291</v>
      </c>
      <c r="U40" s="5" t="s">
        <v>1827</v>
      </c>
      <c r="V40" s="5" t="s">
        <v>1615</v>
      </c>
      <c r="W40" s="5" t="s">
        <v>555</v>
      </c>
    </row>
    <row r="41" spans="1:23" ht="14.4" x14ac:dyDescent="0.3">
      <c r="A41" s="10">
        <v>40</v>
      </c>
      <c r="B41" s="30" t="s">
        <v>492</v>
      </c>
      <c r="C41" s="30" t="s">
        <v>494</v>
      </c>
      <c r="D41" s="11" t="s">
        <v>31</v>
      </c>
      <c r="E41" s="11" t="s">
        <v>1828</v>
      </c>
      <c r="F41" s="11" t="s">
        <v>1829</v>
      </c>
      <c r="G41" s="12">
        <v>316718</v>
      </c>
      <c r="H41" s="11" t="s">
        <v>1830</v>
      </c>
      <c r="I41" s="11" t="s">
        <v>1831</v>
      </c>
      <c r="J41" s="11" t="s">
        <v>1832</v>
      </c>
      <c r="K41" s="12">
        <v>6368</v>
      </c>
      <c r="L41" s="11" t="s">
        <v>1833</v>
      </c>
      <c r="M41" s="12">
        <v>0</v>
      </c>
      <c r="N41" s="13">
        <v>4805955</v>
      </c>
      <c r="O41" s="13">
        <f t="shared" si="0"/>
        <v>177998.33333333334</v>
      </c>
      <c r="P41" s="13">
        <v>143</v>
      </c>
      <c r="Q41" s="13">
        <v>58</v>
      </c>
      <c r="R41" s="13">
        <f t="shared" si="1"/>
        <v>323086</v>
      </c>
      <c r="S41" s="13">
        <f t="shared" si="2"/>
        <v>501084.33333333337</v>
      </c>
      <c r="T41" s="14">
        <f t="shared" si="3"/>
        <v>0.35522629923239801</v>
      </c>
      <c r="U41" s="11" t="s">
        <v>1834</v>
      </c>
      <c r="V41" s="11" t="s">
        <v>1615</v>
      </c>
      <c r="W41" s="11" t="s">
        <v>502</v>
      </c>
    </row>
    <row r="42" spans="1:23" ht="14.4" x14ac:dyDescent="0.3">
      <c r="A42" s="3">
        <v>41</v>
      </c>
      <c r="B42" s="30" t="s">
        <v>325</v>
      </c>
      <c r="C42" s="30" t="s">
        <v>327</v>
      </c>
      <c r="D42" s="5" t="s">
        <v>31</v>
      </c>
      <c r="E42" s="5" t="s">
        <v>1835</v>
      </c>
      <c r="F42" s="5" t="s">
        <v>1836</v>
      </c>
      <c r="G42" s="6">
        <v>370714</v>
      </c>
      <c r="H42" s="5" t="s">
        <v>1837</v>
      </c>
      <c r="I42" s="5" t="s">
        <v>31</v>
      </c>
      <c r="J42" s="5" t="s">
        <v>31</v>
      </c>
      <c r="K42" s="6">
        <v>0</v>
      </c>
      <c r="L42" s="5" t="s">
        <v>31</v>
      </c>
      <c r="M42" s="6">
        <v>0</v>
      </c>
      <c r="N42" s="7">
        <v>3488398</v>
      </c>
      <c r="O42" s="7">
        <f t="shared" si="0"/>
        <v>129199.92592592593</v>
      </c>
      <c r="P42" s="7">
        <v>236</v>
      </c>
      <c r="Q42" s="7">
        <v>80</v>
      </c>
      <c r="R42" s="7">
        <f t="shared" si="1"/>
        <v>370714</v>
      </c>
      <c r="S42" s="7">
        <f t="shared" si="2"/>
        <v>499913.92592592596</v>
      </c>
      <c r="T42" s="8">
        <f t="shared" si="3"/>
        <v>0.25844434256682408</v>
      </c>
      <c r="U42" s="5" t="s">
        <v>1838</v>
      </c>
      <c r="V42" s="5" t="s">
        <v>1615</v>
      </c>
      <c r="W42" s="5" t="s">
        <v>335</v>
      </c>
    </row>
    <row r="43" spans="1:23" ht="14.4" x14ac:dyDescent="0.3">
      <c r="A43" s="10">
        <v>42</v>
      </c>
      <c r="B43" s="30" t="s">
        <v>283</v>
      </c>
      <c r="C43" s="30" t="s">
        <v>393</v>
      </c>
      <c r="D43" s="5" t="s">
        <v>31</v>
      </c>
      <c r="E43" s="5" t="s">
        <v>1839</v>
      </c>
      <c r="F43" s="5" t="s">
        <v>1840</v>
      </c>
      <c r="G43" s="6">
        <v>345391</v>
      </c>
      <c r="H43" s="5" t="s">
        <v>1841</v>
      </c>
      <c r="I43" s="5" t="s">
        <v>31</v>
      </c>
      <c r="J43" s="5" t="s">
        <v>31</v>
      </c>
      <c r="K43" s="6">
        <v>0</v>
      </c>
      <c r="L43" s="5" t="s">
        <v>31</v>
      </c>
      <c r="M43" s="6">
        <v>0</v>
      </c>
      <c r="N43" s="7">
        <v>4009673</v>
      </c>
      <c r="O43" s="7">
        <f t="shared" si="0"/>
        <v>148506.40740740742</v>
      </c>
      <c r="P43" s="7">
        <v>233</v>
      </c>
      <c r="Q43" s="7">
        <v>65</v>
      </c>
      <c r="R43" s="7">
        <f t="shared" si="1"/>
        <v>345391</v>
      </c>
      <c r="S43" s="7">
        <f t="shared" si="2"/>
        <v>493897.40740740742</v>
      </c>
      <c r="T43" s="8">
        <f t="shared" si="3"/>
        <v>0.30068270288551457</v>
      </c>
      <c r="U43" s="5" t="s">
        <v>1842</v>
      </c>
      <c r="V43" s="5" t="s">
        <v>1615</v>
      </c>
      <c r="W43" s="5" t="s">
        <v>398</v>
      </c>
    </row>
    <row r="44" spans="1:23" ht="14.4" x14ac:dyDescent="0.3">
      <c r="A44" s="3">
        <v>43</v>
      </c>
      <c r="B44" s="30" t="s">
        <v>735</v>
      </c>
      <c r="C44" s="30" t="s">
        <v>737</v>
      </c>
      <c r="D44" s="11" t="s">
        <v>31</v>
      </c>
      <c r="E44" s="11" t="s">
        <v>1843</v>
      </c>
      <c r="F44" s="11" t="s">
        <v>1844</v>
      </c>
      <c r="G44" s="12">
        <v>399021</v>
      </c>
      <c r="H44" s="11" t="s">
        <v>1845</v>
      </c>
      <c r="I44" s="11" t="s">
        <v>1846</v>
      </c>
      <c r="J44" s="11" t="s">
        <v>1847</v>
      </c>
      <c r="K44" s="12">
        <v>13273</v>
      </c>
      <c r="L44" s="11" t="s">
        <v>1848</v>
      </c>
      <c r="M44" s="12">
        <v>0</v>
      </c>
      <c r="N44" s="13">
        <v>2186311</v>
      </c>
      <c r="O44" s="13">
        <f t="shared" si="0"/>
        <v>80974.481481481474</v>
      </c>
      <c r="P44" s="13">
        <v>124</v>
      </c>
      <c r="Q44" s="13">
        <v>171</v>
      </c>
      <c r="R44" s="13">
        <f t="shared" si="1"/>
        <v>412294</v>
      </c>
      <c r="S44" s="13">
        <f t="shared" si="2"/>
        <v>493268.48148148146</v>
      </c>
      <c r="T44" s="14">
        <f t="shared" si="3"/>
        <v>0.1641590422284491</v>
      </c>
      <c r="U44" s="11" t="s">
        <v>1849</v>
      </c>
      <c r="V44" s="11" t="s">
        <v>1615</v>
      </c>
      <c r="W44" s="11" t="s">
        <v>745</v>
      </c>
    </row>
    <row r="45" spans="1:23" ht="14.4" x14ac:dyDescent="0.3">
      <c r="A45" s="10">
        <v>44</v>
      </c>
      <c r="B45" s="30" t="s">
        <v>337</v>
      </c>
      <c r="C45" s="30" t="s">
        <v>339</v>
      </c>
      <c r="D45" s="5" t="s">
        <v>31</v>
      </c>
      <c r="E45" s="5" t="s">
        <v>1850</v>
      </c>
      <c r="F45" s="5" t="s">
        <v>1851</v>
      </c>
      <c r="G45" s="6">
        <v>417231</v>
      </c>
      <c r="H45" s="5" t="s">
        <v>1852</v>
      </c>
      <c r="I45" s="5" t="s">
        <v>1853</v>
      </c>
      <c r="J45" s="5" t="s">
        <v>1854</v>
      </c>
      <c r="K45" s="6">
        <v>7750</v>
      </c>
      <c r="L45" s="5" t="s">
        <v>1855</v>
      </c>
      <c r="M45" s="6">
        <v>0</v>
      </c>
      <c r="N45" s="7">
        <v>1810363</v>
      </c>
      <c r="O45" s="7">
        <f t="shared" si="0"/>
        <v>67050.481481481474</v>
      </c>
      <c r="P45" s="7">
        <v>118</v>
      </c>
      <c r="Q45" s="7">
        <v>250</v>
      </c>
      <c r="R45" s="7">
        <f t="shared" si="1"/>
        <v>424981</v>
      </c>
      <c r="S45" s="7">
        <f t="shared" si="2"/>
        <v>492031.48148148146</v>
      </c>
      <c r="T45" s="8">
        <f t="shared" si="3"/>
        <v>0.13627274677546228</v>
      </c>
      <c r="U45" s="5" t="s">
        <v>1856</v>
      </c>
      <c r="V45" s="5" t="s">
        <v>1615</v>
      </c>
      <c r="W45" s="5" t="s">
        <v>347</v>
      </c>
    </row>
    <row r="46" spans="1:23" ht="14.4" x14ac:dyDescent="0.3">
      <c r="A46" s="3">
        <v>45</v>
      </c>
      <c r="B46" s="30" t="s">
        <v>781</v>
      </c>
      <c r="C46" s="30" t="s">
        <v>783</v>
      </c>
      <c r="D46" s="11" t="s">
        <v>31</v>
      </c>
      <c r="E46" s="11" t="s">
        <v>1857</v>
      </c>
      <c r="F46" s="11" t="s">
        <v>1858</v>
      </c>
      <c r="G46" s="12">
        <v>460873</v>
      </c>
      <c r="H46" s="11" t="s">
        <v>1859</v>
      </c>
      <c r="I46" s="11" t="s">
        <v>31</v>
      </c>
      <c r="J46" s="11" t="s">
        <v>31</v>
      </c>
      <c r="K46" s="12">
        <v>0</v>
      </c>
      <c r="L46" s="11" t="s">
        <v>31</v>
      </c>
      <c r="M46" s="12">
        <v>0</v>
      </c>
      <c r="N46" s="13">
        <v>678996</v>
      </c>
      <c r="O46" s="13">
        <f t="shared" si="0"/>
        <v>25148</v>
      </c>
      <c r="P46" s="13">
        <v>53</v>
      </c>
      <c r="Q46" s="13">
        <v>1640</v>
      </c>
      <c r="R46" s="13">
        <f t="shared" si="1"/>
        <v>460873</v>
      </c>
      <c r="S46" s="13">
        <f t="shared" si="2"/>
        <v>486021</v>
      </c>
      <c r="T46" s="14">
        <f t="shared" si="3"/>
        <v>5.174262017484841E-2</v>
      </c>
      <c r="U46" s="11" t="s">
        <v>1860</v>
      </c>
      <c r="V46" s="11" t="s">
        <v>1615</v>
      </c>
      <c r="W46" s="11" t="s">
        <v>788</v>
      </c>
    </row>
    <row r="47" spans="1:23" ht="14.4" x14ac:dyDescent="0.3">
      <c r="A47" s="10">
        <v>46</v>
      </c>
      <c r="B47" s="30" t="s">
        <v>694</v>
      </c>
      <c r="C47" s="30" t="s">
        <v>696</v>
      </c>
      <c r="D47" s="5" t="s">
        <v>31</v>
      </c>
      <c r="E47" s="5" t="s">
        <v>1861</v>
      </c>
      <c r="F47" s="5" t="s">
        <v>1862</v>
      </c>
      <c r="G47" s="6">
        <v>234757</v>
      </c>
      <c r="H47" s="5" t="s">
        <v>1863</v>
      </c>
      <c r="I47" s="5" t="s">
        <v>1864</v>
      </c>
      <c r="J47" s="5" t="s">
        <v>1865</v>
      </c>
      <c r="K47" s="6">
        <v>5275</v>
      </c>
      <c r="L47" s="5" t="s">
        <v>1866</v>
      </c>
      <c r="M47" s="6">
        <v>0</v>
      </c>
      <c r="N47" s="34">
        <f>IFERROR(VLOOKUP(C47,'[1]Colombia Radio'!$C$2:$E$97118,2,0),0)</f>
        <v>0</v>
      </c>
      <c r="O47" s="34">
        <f t="shared" si="0"/>
        <v>0</v>
      </c>
      <c r="P47" s="34">
        <f>IFERROR(VLOOKUP(C47,'[1]Colombia Radio'!$C$2:$E$69000,3,0),0)</f>
        <v>0</v>
      </c>
      <c r="Q47" s="34">
        <f>IFERROR(VLOOKUP(C47,'[1]Colombia Radio'!$C$2:$F$69000,4,0),0)</f>
        <v>0</v>
      </c>
      <c r="R47" s="34">
        <f t="shared" si="1"/>
        <v>240032</v>
      </c>
      <c r="S47" s="34">
        <f t="shared" si="2"/>
        <v>240032</v>
      </c>
      <c r="T47" s="35">
        <f t="shared" si="3"/>
        <v>0</v>
      </c>
      <c r="U47" s="5" t="s">
        <v>1867</v>
      </c>
      <c r="V47" s="5" t="s">
        <v>1615</v>
      </c>
      <c r="W47" s="5"/>
    </row>
    <row r="48" spans="1:23" ht="14.4" x14ac:dyDescent="0.3">
      <c r="A48" s="3">
        <v>47</v>
      </c>
      <c r="B48" s="31" t="s">
        <v>514</v>
      </c>
      <c r="C48" s="31" t="s">
        <v>516</v>
      </c>
      <c r="D48" s="5" t="s">
        <v>31</v>
      </c>
      <c r="E48" s="5" t="s">
        <v>1868</v>
      </c>
      <c r="F48" s="5" t="s">
        <v>1869</v>
      </c>
      <c r="G48" s="6">
        <v>426757</v>
      </c>
      <c r="H48" s="5" t="s">
        <v>1870</v>
      </c>
      <c r="I48" s="5" t="s">
        <v>849</v>
      </c>
      <c r="J48" s="5" t="s">
        <v>1871</v>
      </c>
      <c r="K48" s="6">
        <v>14116</v>
      </c>
      <c r="L48" s="5" t="s">
        <v>1872</v>
      </c>
      <c r="M48" s="6">
        <v>0</v>
      </c>
      <c r="N48" s="7">
        <v>961291</v>
      </c>
      <c r="O48" s="7">
        <f t="shared" si="0"/>
        <v>35603.370370370372</v>
      </c>
      <c r="P48" s="7">
        <v>72</v>
      </c>
      <c r="Q48" s="7">
        <v>945</v>
      </c>
      <c r="R48" s="7">
        <f t="shared" si="1"/>
        <v>440873</v>
      </c>
      <c r="S48" s="7">
        <f t="shared" si="2"/>
        <v>476476.37037037039</v>
      </c>
      <c r="T48" s="8">
        <f t="shared" si="3"/>
        <v>7.4722216219653192E-2</v>
      </c>
      <c r="U48" s="5" t="s">
        <v>1873</v>
      </c>
      <c r="V48" s="5" t="s">
        <v>1615</v>
      </c>
      <c r="W48" s="5" t="s">
        <v>524</v>
      </c>
    </row>
    <row r="49" spans="1:23" ht="14.4" x14ac:dyDescent="0.3">
      <c r="A49" s="10">
        <v>48</v>
      </c>
      <c r="B49" s="31" t="s">
        <v>747</v>
      </c>
      <c r="C49" s="31" t="s">
        <v>749</v>
      </c>
      <c r="D49" s="11" t="s">
        <v>31</v>
      </c>
      <c r="E49" s="11" t="s">
        <v>1874</v>
      </c>
      <c r="F49" s="11" t="s">
        <v>1875</v>
      </c>
      <c r="G49" s="12">
        <v>433469</v>
      </c>
      <c r="H49" s="11" t="s">
        <v>1876</v>
      </c>
      <c r="I49" s="11" t="s">
        <v>31</v>
      </c>
      <c r="J49" s="11" t="s">
        <v>31</v>
      </c>
      <c r="K49" s="12">
        <v>0</v>
      </c>
      <c r="L49" s="11" t="s">
        <v>31</v>
      </c>
      <c r="M49" s="12">
        <v>0</v>
      </c>
      <c r="N49" s="13">
        <v>1124803</v>
      </c>
      <c r="O49" s="13">
        <f t="shared" si="0"/>
        <v>41659.370370370372</v>
      </c>
      <c r="P49" s="13">
        <v>75</v>
      </c>
      <c r="Q49" s="13">
        <v>669</v>
      </c>
      <c r="R49" s="13">
        <f t="shared" si="1"/>
        <v>433469</v>
      </c>
      <c r="S49" s="13">
        <f t="shared" si="2"/>
        <v>475128.37037037039</v>
      </c>
      <c r="T49" s="14">
        <f t="shared" si="3"/>
        <v>8.768024173739869E-2</v>
      </c>
      <c r="U49" s="11" t="s">
        <v>1877</v>
      </c>
      <c r="V49" s="11" t="s">
        <v>1615</v>
      </c>
      <c r="W49" s="11" t="s">
        <v>754</v>
      </c>
    </row>
    <row r="50" spans="1:23" ht="14.4" x14ac:dyDescent="0.3">
      <c r="A50" s="3">
        <v>49</v>
      </c>
      <c r="B50" s="30" t="s">
        <v>514</v>
      </c>
      <c r="C50" s="30" t="s">
        <v>538</v>
      </c>
      <c r="D50" s="5" t="s">
        <v>31</v>
      </c>
      <c r="E50" s="5" t="s">
        <v>1878</v>
      </c>
      <c r="F50" s="5" t="s">
        <v>1513</v>
      </c>
      <c r="G50" s="6">
        <v>317077</v>
      </c>
      <c r="H50" s="5" t="s">
        <v>1879</v>
      </c>
      <c r="I50" s="5" t="s">
        <v>1880</v>
      </c>
      <c r="J50" s="5" t="s">
        <v>1881</v>
      </c>
      <c r="K50" s="6">
        <v>5777</v>
      </c>
      <c r="L50" s="5" t="s">
        <v>1882</v>
      </c>
      <c r="M50" s="6">
        <v>0</v>
      </c>
      <c r="N50" s="7">
        <v>3955721</v>
      </c>
      <c r="O50" s="7">
        <f t="shared" si="0"/>
        <v>146508.1851851852</v>
      </c>
      <c r="P50" s="7">
        <v>226</v>
      </c>
      <c r="Q50" s="7">
        <v>69</v>
      </c>
      <c r="R50" s="7">
        <f t="shared" si="1"/>
        <v>322854</v>
      </c>
      <c r="S50" s="7">
        <f t="shared" si="2"/>
        <v>469362.18518518517</v>
      </c>
      <c r="T50" s="8">
        <f t="shared" si="3"/>
        <v>0.31214313766538504</v>
      </c>
      <c r="U50" s="5" t="s">
        <v>1883</v>
      </c>
      <c r="V50" s="5" t="s">
        <v>1615</v>
      </c>
      <c r="W50" s="5" t="s">
        <v>546</v>
      </c>
    </row>
    <row r="51" spans="1:23" ht="14.4" x14ac:dyDescent="0.3">
      <c r="A51" s="10">
        <v>50</v>
      </c>
      <c r="B51" s="30" t="s">
        <v>313</v>
      </c>
      <c r="C51" s="30" t="s">
        <v>400</v>
      </c>
      <c r="D51" s="11" t="s">
        <v>31</v>
      </c>
      <c r="E51" s="11" t="s">
        <v>1884</v>
      </c>
      <c r="F51" s="11" t="s">
        <v>1885</v>
      </c>
      <c r="G51" s="12">
        <v>368383</v>
      </c>
      <c r="H51" s="11" t="s">
        <v>1886</v>
      </c>
      <c r="I51" s="11" t="s">
        <v>1887</v>
      </c>
      <c r="J51" s="11" t="s">
        <v>1888</v>
      </c>
      <c r="K51" s="12">
        <v>445</v>
      </c>
      <c r="L51" s="11" t="s">
        <v>1889</v>
      </c>
      <c r="M51" s="12">
        <v>0</v>
      </c>
      <c r="N51" s="13">
        <v>2645220</v>
      </c>
      <c r="O51" s="13">
        <f t="shared" si="0"/>
        <v>97971.111111111109</v>
      </c>
      <c r="P51" s="13">
        <v>147</v>
      </c>
      <c r="Q51" s="13">
        <v>120</v>
      </c>
      <c r="R51" s="13">
        <f t="shared" si="1"/>
        <v>368828</v>
      </c>
      <c r="S51" s="13">
        <f t="shared" si="2"/>
        <v>466799.11111111112</v>
      </c>
      <c r="T51" s="14">
        <f t="shared" si="3"/>
        <v>0.20987852971251966</v>
      </c>
      <c r="U51" s="11" t="s">
        <v>1890</v>
      </c>
      <c r="V51" s="11" t="s">
        <v>1615</v>
      </c>
      <c r="W51" s="11" t="s">
        <v>408</v>
      </c>
    </row>
    <row r="52" spans="1:23" ht="14.4" x14ac:dyDescent="0.3">
      <c r="A52" s="3">
        <v>51</v>
      </c>
      <c r="B52" s="30" t="s">
        <v>480</v>
      </c>
      <c r="C52" s="30" t="s">
        <v>482</v>
      </c>
      <c r="D52" s="5" t="s">
        <v>31</v>
      </c>
      <c r="E52" s="5" t="s">
        <v>1891</v>
      </c>
      <c r="F52" s="5" t="s">
        <v>1892</v>
      </c>
      <c r="G52" s="6">
        <v>221201</v>
      </c>
      <c r="H52" s="5" t="s">
        <v>1893</v>
      </c>
      <c r="I52" s="5" t="s">
        <v>1894</v>
      </c>
      <c r="J52" s="5" t="s">
        <v>1895</v>
      </c>
      <c r="K52" s="6">
        <v>4309</v>
      </c>
      <c r="L52" s="5" t="s">
        <v>1896</v>
      </c>
      <c r="M52" s="6">
        <v>0</v>
      </c>
      <c r="N52" s="34">
        <f>IFERROR(VLOOKUP(C52,'[1]Colombia Radio'!$C$2:$E$97118,2,0),0)</f>
        <v>0</v>
      </c>
      <c r="O52" s="34">
        <f t="shared" si="0"/>
        <v>0</v>
      </c>
      <c r="P52" s="34">
        <f>IFERROR(VLOOKUP(C52,'[1]Colombia Radio'!$C$2:$E$69000,3,0),0)</f>
        <v>0</v>
      </c>
      <c r="Q52" s="34">
        <f>IFERROR(VLOOKUP(C52,'[1]Colombia Radio'!$C$2:$F$69000,4,0),0)</f>
        <v>0</v>
      </c>
      <c r="R52" s="34">
        <f t="shared" si="1"/>
        <v>225510</v>
      </c>
      <c r="S52" s="34">
        <f t="shared" si="2"/>
        <v>225510</v>
      </c>
      <c r="T52" s="35">
        <f t="shared" si="3"/>
        <v>0</v>
      </c>
      <c r="U52" s="5" t="s">
        <v>1897</v>
      </c>
      <c r="V52" s="5" t="s">
        <v>1615</v>
      </c>
      <c r="W52" s="5" t="s">
        <v>490</v>
      </c>
    </row>
    <row r="53" spans="1:23" ht="14.4" x14ac:dyDescent="0.3">
      <c r="A53" s="10">
        <v>52</v>
      </c>
      <c r="B53" s="31" t="s">
        <v>599</v>
      </c>
      <c r="C53" s="31" t="s">
        <v>601</v>
      </c>
      <c r="D53" s="5" t="s">
        <v>31</v>
      </c>
      <c r="E53" s="5" t="s">
        <v>1898</v>
      </c>
      <c r="F53" s="5" t="s">
        <v>1899</v>
      </c>
      <c r="G53" s="6">
        <v>339356</v>
      </c>
      <c r="H53" s="5" t="s">
        <v>1900</v>
      </c>
      <c r="I53" s="5" t="s">
        <v>1901</v>
      </c>
      <c r="J53" s="5" t="s">
        <v>1902</v>
      </c>
      <c r="K53" s="6">
        <v>10806</v>
      </c>
      <c r="L53" s="5" t="s">
        <v>1903</v>
      </c>
      <c r="M53" s="6">
        <v>0</v>
      </c>
      <c r="N53" s="7">
        <v>2847224</v>
      </c>
      <c r="O53" s="7">
        <f t="shared" si="0"/>
        <v>105452.74074074074</v>
      </c>
      <c r="P53" s="7">
        <v>127</v>
      </c>
      <c r="Q53" s="7">
        <v>104</v>
      </c>
      <c r="R53" s="7">
        <f t="shared" si="1"/>
        <v>350162</v>
      </c>
      <c r="S53" s="7">
        <f t="shared" si="2"/>
        <v>455614.74074074073</v>
      </c>
      <c r="T53" s="8">
        <f t="shared" si="3"/>
        <v>0.23145155613116281</v>
      </c>
      <c r="U53" s="5" t="s">
        <v>1904</v>
      </c>
      <c r="V53" s="5" t="s">
        <v>1615</v>
      </c>
      <c r="W53" s="5" t="s">
        <v>609</v>
      </c>
    </row>
    <row r="54" spans="1:23" ht="14.4" x14ac:dyDescent="0.3">
      <c r="A54" s="3">
        <v>53</v>
      </c>
      <c r="B54" s="30" t="s">
        <v>426</v>
      </c>
      <c r="C54" s="32">
        <v>444</v>
      </c>
      <c r="D54" s="11" t="s">
        <v>31</v>
      </c>
      <c r="E54" s="11" t="s">
        <v>1905</v>
      </c>
      <c r="F54" s="11" t="s">
        <v>1906</v>
      </c>
      <c r="G54" s="12">
        <v>442218</v>
      </c>
      <c r="H54" s="11" t="s">
        <v>1907</v>
      </c>
      <c r="I54" s="11" t="s">
        <v>1908</v>
      </c>
      <c r="J54" s="11" t="s">
        <v>1909</v>
      </c>
      <c r="K54" s="12">
        <v>11832</v>
      </c>
      <c r="L54" s="11" t="s">
        <v>1910</v>
      </c>
      <c r="M54" s="12">
        <v>0</v>
      </c>
      <c r="N54" s="13">
        <v>0</v>
      </c>
      <c r="O54" s="13">
        <f t="shared" si="0"/>
        <v>0</v>
      </c>
      <c r="P54" s="13">
        <v>0</v>
      </c>
      <c r="Q54" s="13">
        <v>0</v>
      </c>
      <c r="R54" s="13">
        <f t="shared" si="1"/>
        <v>454050</v>
      </c>
      <c r="S54" s="13">
        <f t="shared" si="2"/>
        <v>454050</v>
      </c>
      <c r="T54" s="14">
        <f t="shared" si="3"/>
        <v>0</v>
      </c>
      <c r="U54" s="11" t="s">
        <v>1911</v>
      </c>
      <c r="V54" s="11" t="s">
        <v>1615</v>
      </c>
      <c r="W54" s="11" t="s">
        <v>436</v>
      </c>
    </row>
    <row r="55" spans="1:23" ht="14.4" x14ac:dyDescent="0.3">
      <c r="A55" s="10">
        <v>54</v>
      </c>
      <c r="B55" s="31" t="s">
        <v>651</v>
      </c>
      <c r="C55" s="31" t="s">
        <v>653</v>
      </c>
      <c r="D55" s="5" t="s">
        <v>31</v>
      </c>
      <c r="E55" s="5" t="s">
        <v>1912</v>
      </c>
      <c r="F55" s="5" t="s">
        <v>1913</v>
      </c>
      <c r="G55" s="6">
        <v>290767</v>
      </c>
      <c r="H55" s="5" t="s">
        <v>1914</v>
      </c>
      <c r="I55" s="5" t="s">
        <v>1915</v>
      </c>
      <c r="J55" s="5" t="s">
        <v>1916</v>
      </c>
      <c r="K55" s="6">
        <v>9509</v>
      </c>
      <c r="L55" s="5" t="s">
        <v>1917</v>
      </c>
      <c r="M55" s="6">
        <v>0</v>
      </c>
      <c r="N55" s="7">
        <v>4064873</v>
      </c>
      <c r="O55" s="7">
        <f t="shared" si="0"/>
        <v>150550.85185185185</v>
      </c>
      <c r="P55" s="7">
        <v>271</v>
      </c>
      <c r="Q55" s="7">
        <v>64</v>
      </c>
      <c r="R55" s="7">
        <f t="shared" si="1"/>
        <v>300276</v>
      </c>
      <c r="S55" s="7">
        <f t="shared" si="2"/>
        <v>450826.85185185185</v>
      </c>
      <c r="T55" s="8">
        <f t="shared" si="3"/>
        <v>0.33394384392464055</v>
      </c>
      <c r="U55" s="5" t="s">
        <v>1918</v>
      </c>
      <c r="V55" s="5" t="s">
        <v>1615</v>
      </c>
      <c r="W55" s="5" t="s">
        <v>660</v>
      </c>
    </row>
    <row r="56" spans="1:23" ht="14.4" x14ac:dyDescent="0.3">
      <c r="A56" s="3">
        <v>55</v>
      </c>
      <c r="B56" s="31" t="s">
        <v>313</v>
      </c>
      <c r="C56" s="31" t="s">
        <v>504</v>
      </c>
      <c r="D56" s="11" t="s">
        <v>31</v>
      </c>
      <c r="E56" s="11" t="s">
        <v>1919</v>
      </c>
      <c r="F56" s="11" t="s">
        <v>1920</v>
      </c>
      <c r="G56" s="12">
        <v>322449</v>
      </c>
      <c r="H56" s="11" t="s">
        <v>1921</v>
      </c>
      <c r="I56" s="11" t="s">
        <v>915</v>
      </c>
      <c r="J56" s="11" t="s">
        <v>1355</v>
      </c>
      <c r="K56" s="12">
        <v>189</v>
      </c>
      <c r="L56" s="11" t="s">
        <v>1922</v>
      </c>
      <c r="M56" s="12">
        <v>0</v>
      </c>
      <c r="N56" s="13">
        <v>3384232</v>
      </c>
      <c r="O56" s="13">
        <f t="shared" si="0"/>
        <v>125341.92592592593</v>
      </c>
      <c r="P56" s="13">
        <v>194</v>
      </c>
      <c r="Q56" s="13">
        <v>84</v>
      </c>
      <c r="R56" s="13">
        <f t="shared" si="1"/>
        <v>322638</v>
      </c>
      <c r="S56" s="13">
        <f t="shared" si="2"/>
        <v>447979.92592592596</v>
      </c>
      <c r="T56" s="14">
        <f t="shared" si="3"/>
        <v>0.27979362170494082</v>
      </c>
      <c r="U56" s="11" t="s">
        <v>1923</v>
      </c>
      <c r="V56" s="11" t="s">
        <v>1615</v>
      </c>
      <c r="W56" s="11" t="s">
        <v>512</v>
      </c>
    </row>
    <row r="57" spans="1:23" ht="14.4" x14ac:dyDescent="0.3">
      <c r="A57" s="10">
        <v>56</v>
      </c>
      <c r="B57" s="31" t="s">
        <v>438</v>
      </c>
      <c r="C57" s="31" t="s">
        <v>440</v>
      </c>
      <c r="D57" s="5" t="s">
        <v>31</v>
      </c>
      <c r="E57" s="5" t="s">
        <v>1924</v>
      </c>
      <c r="F57" s="5" t="s">
        <v>1925</v>
      </c>
      <c r="G57" s="6">
        <v>403254</v>
      </c>
      <c r="H57" s="5" t="s">
        <v>1926</v>
      </c>
      <c r="I57" s="5" t="s">
        <v>1927</v>
      </c>
      <c r="J57" s="5" t="s">
        <v>1928</v>
      </c>
      <c r="K57" s="6">
        <v>10223</v>
      </c>
      <c r="L57" s="5" t="s">
        <v>1929</v>
      </c>
      <c r="M57" s="6">
        <v>0</v>
      </c>
      <c r="N57" s="7">
        <v>799996</v>
      </c>
      <c r="O57" s="7">
        <f t="shared" si="0"/>
        <v>29629.481481481482</v>
      </c>
      <c r="P57" s="7">
        <v>35</v>
      </c>
      <c r="Q57" s="7">
        <v>1286</v>
      </c>
      <c r="R57" s="7">
        <f t="shared" si="1"/>
        <v>413477</v>
      </c>
      <c r="S57" s="7">
        <f t="shared" si="2"/>
        <v>443106.48148148146</v>
      </c>
      <c r="T57" s="8">
        <f t="shared" si="3"/>
        <v>6.686763276948314E-2</v>
      </c>
      <c r="U57" s="5" t="s">
        <v>1930</v>
      </c>
      <c r="V57" s="5" t="s">
        <v>1615</v>
      </c>
      <c r="W57" s="5" t="s">
        <v>448</v>
      </c>
    </row>
    <row r="58" spans="1:23" ht="14.4" x14ac:dyDescent="0.3">
      <c r="A58" s="3">
        <v>57</v>
      </c>
      <c r="B58" s="9" t="s">
        <v>360</v>
      </c>
      <c r="C58" s="9" t="s">
        <v>362</v>
      </c>
      <c r="D58" s="11" t="s">
        <v>31</v>
      </c>
      <c r="E58" s="11" t="s">
        <v>1931</v>
      </c>
      <c r="F58" s="11" t="s">
        <v>1932</v>
      </c>
      <c r="G58" s="12">
        <v>426963</v>
      </c>
      <c r="H58" s="11" t="s">
        <v>1933</v>
      </c>
      <c r="I58" s="11" t="s">
        <v>1934</v>
      </c>
      <c r="J58" s="11" t="s">
        <v>1935</v>
      </c>
      <c r="K58" s="12">
        <v>8933</v>
      </c>
      <c r="L58" s="11" t="s">
        <v>1936</v>
      </c>
      <c r="M58" s="12">
        <v>0</v>
      </c>
      <c r="N58" s="13">
        <v>189651</v>
      </c>
      <c r="O58" s="13">
        <f t="shared" si="0"/>
        <v>7024.1111111111113</v>
      </c>
      <c r="P58" s="13">
        <v>47</v>
      </c>
      <c r="Q58" s="13">
        <v>6765</v>
      </c>
      <c r="R58" s="13">
        <f t="shared" si="1"/>
        <v>435896</v>
      </c>
      <c r="S58" s="13">
        <f t="shared" si="2"/>
        <v>442920.11111111112</v>
      </c>
      <c r="T58" s="14">
        <f t="shared" si="3"/>
        <v>1.5858641174568477E-2</v>
      </c>
      <c r="U58" s="11" t="s">
        <v>1937</v>
      </c>
      <c r="V58" s="11" t="s">
        <v>1615</v>
      </c>
      <c r="W58" s="11" t="s">
        <v>370</v>
      </c>
    </row>
    <row r="59" spans="1:23" ht="14.4" x14ac:dyDescent="0.3">
      <c r="A59" s="10">
        <v>58</v>
      </c>
      <c r="B59" s="31" t="s">
        <v>42</v>
      </c>
      <c r="C59" s="31" t="s">
        <v>1938</v>
      </c>
      <c r="D59" s="5" t="s">
        <v>31</v>
      </c>
      <c r="E59" s="5" t="s">
        <v>1939</v>
      </c>
      <c r="F59" s="5" t="s">
        <v>1940</v>
      </c>
      <c r="G59" s="6">
        <v>428805</v>
      </c>
      <c r="H59" s="5" t="s">
        <v>1941</v>
      </c>
      <c r="I59" s="5" t="s">
        <v>31</v>
      </c>
      <c r="J59" s="5" t="s">
        <v>31</v>
      </c>
      <c r="K59" s="6">
        <v>0</v>
      </c>
      <c r="L59" s="5" t="s">
        <v>31</v>
      </c>
      <c r="M59" s="6">
        <v>0</v>
      </c>
      <c r="N59" s="7">
        <v>0</v>
      </c>
      <c r="O59" s="7">
        <f t="shared" si="0"/>
        <v>0</v>
      </c>
      <c r="P59" s="7">
        <v>0</v>
      </c>
      <c r="Q59" s="7">
        <v>0</v>
      </c>
      <c r="R59" s="7">
        <f t="shared" si="1"/>
        <v>428805</v>
      </c>
      <c r="S59" s="7">
        <f t="shared" si="2"/>
        <v>428805</v>
      </c>
      <c r="T59" s="8">
        <f t="shared" si="3"/>
        <v>0</v>
      </c>
      <c r="U59" s="5" t="s">
        <v>1942</v>
      </c>
      <c r="V59" s="5" t="s">
        <v>1615</v>
      </c>
      <c r="W59" s="5" t="s">
        <v>1943</v>
      </c>
    </row>
    <row r="60" spans="1:23" ht="14.4" x14ac:dyDescent="0.3">
      <c r="A60" s="3">
        <v>59</v>
      </c>
      <c r="B60" s="31" t="s">
        <v>459</v>
      </c>
      <c r="C60" s="31" t="s">
        <v>1944</v>
      </c>
      <c r="D60" s="11" t="s">
        <v>31</v>
      </c>
      <c r="E60" s="11" t="s">
        <v>1945</v>
      </c>
      <c r="F60" s="11" t="s">
        <v>1946</v>
      </c>
      <c r="G60" s="12">
        <v>338311</v>
      </c>
      <c r="H60" s="11" t="s">
        <v>1947</v>
      </c>
      <c r="I60" s="11" t="s">
        <v>1948</v>
      </c>
      <c r="J60" s="11" t="s">
        <v>1949</v>
      </c>
      <c r="K60" s="12">
        <v>7450</v>
      </c>
      <c r="L60" s="11" t="s">
        <v>1950</v>
      </c>
      <c r="M60" s="12">
        <v>0</v>
      </c>
      <c r="N60" s="13">
        <v>2165477</v>
      </c>
      <c r="O60" s="13">
        <f t="shared" si="0"/>
        <v>80202.851851851854</v>
      </c>
      <c r="P60" s="13">
        <v>156</v>
      </c>
      <c r="Q60" s="13">
        <v>174</v>
      </c>
      <c r="R60" s="13">
        <f t="shared" si="1"/>
        <v>345761</v>
      </c>
      <c r="S60" s="13">
        <f t="shared" si="2"/>
        <v>425963.85185185185</v>
      </c>
      <c r="T60" s="14">
        <f t="shared" si="3"/>
        <v>0.18828558222293945</v>
      </c>
      <c r="U60" s="11" t="s">
        <v>1951</v>
      </c>
      <c r="V60" s="11" t="s">
        <v>1615</v>
      </c>
      <c r="W60" s="11" t="s">
        <v>469</v>
      </c>
    </row>
    <row r="61" spans="1:23" ht="14.4" x14ac:dyDescent="0.3">
      <c r="A61" s="10">
        <v>60</v>
      </c>
      <c r="B61" s="31" t="s">
        <v>557</v>
      </c>
      <c r="C61" s="31" t="s">
        <v>559</v>
      </c>
      <c r="D61" s="5" t="s">
        <v>31</v>
      </c>
      <c r="E61" s="5" t="s">
        <v>1952</v>
      </c>
      <c r="F61" s="5" t="s">
        <v>1953</v>
      </c>
      <c r="G61" s="6">
        <v>304309</v>
      </c>
      <c r="H61" s="5" t="s">
        <v>1954</v>
      </c>
      <c r="I61" s="5" t="s">
        <v>1955</v>
      </c>
      <c r="J61" s="5" t="s">
        <v>1956</v>
      </c>
      <c r="K61" s="6">
        <v>5896</v>
      </c>
      <c r="L61" s="5" t="s">
        <v>1957</v>
      </c>
      <c r="M61" s="6">
        <v>0</v>
      </c>
      <c r="N61" s="7">
        <v>2877017</v>
      </c>
      <c r="O61" s="7">
        <f t="shared" si="0"/>
        <v>106556.18518518518</v>
      </c>
      <c r="P61" s="7">
        <v>98</v>
      </c>
      <c r="Q61" s="7">
        <v>101</v>
      </c>
      <c r="R61" s="7">
        <f t="shared" si="1"/>
        <v>310205</v>
      </c>
      <c r="S61" s="7">
        <f t="shared" si="2"/>
        <v>416761.18518518517</v>
      </c>
      <c r="T61" s="8">
        <f t="shared" si="3"/>
        <v>0.25567684557245324</v>
      </c>
      <c r="U61" s="5" t="s">
        <v>1958</v>
      </c>
      <c r="V61" s="5" t="s">
        <v>1615</v>
      </c>
      <c r="W61" s="5" t="s">
        <v>567</v>
      </c>
    </row>
    <row r="62" spans="1:23" ht="14.4" x14ac:dyDescent="0.3">
      <c r="A62" s="3">
        <v>61</v>
      </c>
      <c r="B62" s="31" t="s">
        <v>1567</v>
      </c>
      <c r="C62" s="31" t="s">
        <v>1568</v>
      </c>
      <c r="D62" s="11" t="s">
        <v>31</v>
      </c>
      <c r="E62" s="11" t="s">
        <v>1959</v>
      </c>
      <c r="F62" s="11" t="s">
        <v>1960</v>
      </c>
      <c r="G62" s="12">
        <v>367694</v>
      </c>
      <c r="H62" s="11" t="s">
        <v>1961</v>
      </c>
      <c r="I62" s="11" t="s">
        <v>1962</v>
      </c>
      <c r="J62" s="11" t="s">
        <v>1963</v>
      </c>
      <c r="K62" s="12">
        <v>4793</v>
      </c>
      <c r="L62" s="11" t="s">
        <v>1964</v>
      </c>
      <c r="M62" s="12">
        <v>0</v>
      </c>
      <c r="N62" s="13">
        <v>957186</v>
      </c>
      <c r="O62" s="13">
        <f t="shared" si="0"/>
        <v>35451.333333333336</v>
      </c>
      <c r="P62" s="13">
        <v>39</v>
      </c>
      <c r="Q62" s="13">
        <v>955</v>
      </c>
      <c r="R62" s="13">
        <f t="shared" si="1"/>
        <v>372487</v>
      </c>
      <c r="S62" s="13">
        <f t="shared" si="2"/>
        <v>407938.33333333331</v>
      </c>
      <c r="T62" s="14">
        <f t="shared" si="3"/>
        <v>8.6903657824099242E-2</v>
      </c>
      <c r="U62" s="11" t="s">
        <v>1965</v>
      </c>
      <c r="V62" s="11" t="s">
        <v>1615</v>
      </c>
      <c r="W62" s="11" t="s">
        <v>1576</v>
      </c>
    </row>
    <row r="63" spans="1:23" ht="14.4" x14ac:dyDescent="0.3">
      <c r="A63" s="10">
        <v>62</v>
      </c>
      <c r="B63" s="30" t="s">
        <v>337</v>
      </c>
      <c r="C63" s="30" t="s">
        <v>663</v>
      </c>
      <c r="D63" s="5" t="s">
        <v>31</v>
      </c>
      <c r="E63" s="5" t="s">
        <v>1966</v>
      </c>
      <c r="F63" s="5" t="s">
        <v>1967</v>
      </c>
      <c r="G63" s="6">
        <v>363011</v>
      </c>
      <c r="H63" s="5" t="s">
        <v>1968</v>
      </c>
      <c r="I63" s="5" t="s">
        <v>1969</v>
      </c>
      <c r="J63" s="5" t="s">
        <v>1970</v>
      </c>
      <c r="K63" s="6">
        <v>7163</v>
      </c>
      <c r="L63" s="5" t="s">
        <v>1376</v>
      </c>
      <c r="M63" s="6">
        <v>0</v>
      </c>
      <c r="N63" s="7">
        <v>1012005</v>
      </c>
      <c r="O63" s="7">
        <f t="shared" si="0"/>
        <v>37481.666666666664</v>
      </c>
      <c r="P63" s="7">
        <v>74</v>
      </c>
      <c r="Q63" s="7">
        <v>834</v>
      </c>
      <c r="R63" s="7">
        <f t="shared" si="1"/>
        <v>370174</v>
      </c>
      <c r="S63" s="7">
        <f t="shared" si="2"/>
        <v>407655.66666666669</v>
      </c>
      <c r="T63" s="8">
        <f t="shared" si="3"/>
        <v>9.1944426955101799E-2</v>
      </c>
      <c r="U63" s="5" t="s">
        <v>1971</v>
      </c>
      <c r="V63" s="5" t="s">
        <v>1615</v>
      </c>
      <c r="W63" s="5" t="s">
        <v>671</v>
      </c>
    </row>
    <row r="64" spans="1:23" ht="14.4" x14ac:dyDescent="0.3">
      <c r="A64" s="3">
        <v>63</v>
      </c>
      <c r="B64" s="30" t="s">
        <v>450</v>
      </c>
      <c r="C64" s="30" t="s">
        <v>452</v>
      </c>
      <c r="D64" s="11" t="s">
        <v>31</v>
      </c>
      <c r="E64" s="11" t="s">
        <v>1972</v>
      </c>
      <c r="F64" s="11" t="s">
        <v>1973</v>
      </c>
      <c r="G64" s="12">
        <v>314488</v>
      </c>
      <c r="H64" s="11" t="s">
        <v>1974</v>
      </c>
      <c r="I64" s="11" t="s">
        <v>31</v>
      </c>
      <c r="J64" s="11" t="s">
        <v>31</v>
      </c>
      <c r="K64" s="12">
        <v>0</v>
      </c>
      <c r="L64" s="11" t="s">
        <v>31</v>
      </c>
      <c r="M64" s="12">
        <v>0</v>
      </c>
      <c r="N64" s="13">
        <v>2432319</v>
      </c>
      <c r="O64" s="13">
        <f t="shared" si="0"/>
        <v>90085.888888888891</v>
      </c>
      <c r="P64" s="13">
        <v>132</v>
      </c>
      <c r="Q64" s="13">
        <v>143</v>
      </c>
      <c r="R64" s="13">
        <f t="shared" si="1"/>
        <v>314488</v>
      </c>
      <c r="S64" s="13">
        <f t="shared" si="2"/>
        <v>404573.88888888888</v>
      </c>
      <c r="T64" s="14">
        <f t="shared" si="3"/>
        <v>0.22266856898822218</v>
      </c>
      <c r="U64" s="11" t="s">
        <v>1975</v>
      </c>
      <c r="V64" s="11" t="s">
        <v>1615</v>
      </c>
      <c r="W64" s="11" t="s">
        <v>457</v>
      </c>
    </row>
    <row r="65" spans="1:23" ht="14.4" x14ac:dyDescent="0.3">
      <c r="A65" s="10">
        <v>64</v>
      </c>
      <c r="B65" s="30" t="s">
        <v>611</v>
      </c>
      <c r="C65" s="30" t="s">
        <v>613</v>
      </c>
      <c r="D65" s="5" t="s">
        <v>31</v>
      </c>
      <c r="E65" s="5" t="s">
        <v>1976</v>
      </c>
      <c r="F65" s="5" t="s">
        <v>1977</v>
      </c>
      <c r="G65" s="6">
        <v>402409</v>
      </c>
      <c r="H65" s="5" t="s">
        <v>1978</v>
      </c>
      <c r="I65" s="5" t="s">
        <v>31</v>
      </c>
      <c r="J65" s="5" t="s">
        <v>31</v>
      </c>
      <c r="K65" s="6">
        <v>0</v>
      </c>
      <c r="L65" s="5" t="s">
        <v>31</v>
      </c>
      <c r="M65" s="6">
        <v>0</v>
      </c>
      <c r="N65" s="7">
        <v>0</v>
      </c>
      <c r="O65" s="7">
        <f t="shared" si="0"/>
        <v>0</v>
      </c>
      <c r="P65" s="7">
        <v>0</v>
      </c>
      <c r="Q65" s="7">
        <v>0</v>
      </c>
      <c r="R65" s="7">
        <f t="shared" si="1"/>
        <v>402409</v>
      </c>
      <c r="S65" s="7">
        <f t="shared" si="2"/>
        <v>402409</v>
      </c>
      <c r="T65" s="8">
        <f t="shared" si="3"/>
        <v>0</v>
      </c>
      <c r="U65" s="5" t="s">
        <v>1979</v>
      </c>
      <c r="V65" s="5" t="s">
        <v>1615</v>
      </c>
      <c r="W65" s="5" t="s">
        <v>618</v>
      </c>
    </row>
    <row r="66" spans="1:23" ht="14.4" x14ac:dyDescent="0.3">
      <c r="A66" s="3">
        <v>65</v>
      </c>
      <c r="B66" s="30" t="s">
        <v>1019</v>
      </c>
      <c r="C66" s="30" t="s">
        <v>1021</v>
      </c>
      <c r="D66" s="11" t="s">
        <v>31</v>
      </c>
      <c r="E66" s="11" t="s">
        <v>1980</v>
      </c>
      <c r="F66" s="11" t="s">
        <v>1981</v>
      </c>
      <c r="G66" s="12">
        <v>268298</v>
      </c>
      <c r="H66" s="11" t="s">
        <v>1982</v>
      </c>
      <c r="I66" s="11" t="s">
        <v>1983</v>
      </c>
      <c r="J66" s="11" t="s">
        <v>1984</v>
      </c>
      <c r="K66" s="12">
        <v>4501</v>
      </c>
      <c r="L66" s="11" t="s">
        <v>1985</v>
      </c>
      <c r="M66" s="12">
        <v>0</v>
      </c>
      <c r="N66" s="13">
        <v>3468697</v>
      </c>
      <c r="O66" s="13">
        <f t="shared" si="0"/>
        <v>128470.25925925926</v>
      </c>
      <c r="P66" s="13">
        <v>176</v>
      </c>
      <c r="Q66" s="13">
        <v>81</v>
      </c>
      <c r="R66" s="13">
        <f t="shared" si="1"/>
        <v>272799</v>
      </c>
      <c r="S66" s="13">
        <f t="shared" si="2"/>
        <v>401269.25925925927</v>
      </c>
      <c r="T66" s="14">
        <f t="shared" si="3"/>
        <v>0.32015973388147057</v>
      </c>
      <c r="U66" s="11" t="s">
        <v>1986</v>
      </c>
      <c r="V66" s="11" t="s">
        <v>1615</v>
      </c>
      <c r="W66" s="11" t="s">
        <v>1029</v>
      </c>
    </row>
    <row r="67" spans="1:23" ht="14.4" x14ac:dyDescent="0.3">
      <c r="A67" s="10">
        <v>66</v>
      </c>
      <c r="B67" s="31" t="s">
        <v>765</v>
      </c>
      <c r="C67" s="31" t="s">
        <v>766</v>
      </c>
      <c r="D67" s="5" t="s">
        <v>31</v>
      </c>
      <c r="E67" s="5" t="s">
        <v>1987</v>
      </c>
      <c r="F67" s="5" t="s">
        <v>1988</v>
      </c>
      <c r="G67" s="6">
        <v>304858</v>
      </c>
      <c r="H67" s="5" t="s">
        <v>1989</v>
      </c>
      <c r="I67" s="5" t="s">
        <v>31</v>
      </c>
      <c r="J67" s="5" t="s">
        <v>31</v>
      </c>
      <c r="K67" s="6">
        <v>0</v>
      </c>
      <c r="L67" s="5" t="s">
        <v>31</v>
      </c>
      <c r="M67" s="6">
        <v>0</v>
      </c>
      <c r="N67" s="7">
        <v>2599871</v>
      </c>
      <c r="O67" s="7">
        <f t="shared" si="0"/>
        <v>96291.518518518526</v>
      </c>
      <c r="P67" s="7">
        <v>122</v>
      </c>
      <c r="Q67" s="7">
        <v>124</v>
      </c>
      <c r="R67" s="7">
        <f t="shared" si="1"/>
        <v>304858</v>
      </c>
      <c r="S67" s="7">
        <f t="shared" si="2"/>
        <v>401149.51851851854</v>
      </c>
      <c r="T67" s="8">
        <f t="shared" si="3"/>
        <v>0.24003897318419279</v>
      </c>
      <c r="U67" s="5" t="s">
        <v>1990</v>
      </c>
      <c r="V67" s="5" t="s">
        <v>1615</v>
      </c>
      <c r="W67" s="5" t="s">
        <v>771</v>
      </c>
    </row>
    <row r="68" spans="1:23" ht="14.4" x14ac:dyDescent="0.3">
      <c r="A68" s="3">
        <v>67</v>
      </c>
      <c r="B68" s="31" t="s">
        <v>831</v>
      </c>
      <c r="C68" s="31" t="s">
        <v>833</v>
      </c>
      <c r="D68" s="11" t="s">
        <v>31</v>
      </c>
      <c r="E68" s="11" t="s">
        <v>1991</v>
      </c>
      <c r="F68" s="11" t="s">
        <v>1992</v>
      </c>
      <c r="G68" s="12">
        <v>313025</v>
      </c>
      <c r="H68" s="11" t="s">
        <v>1993</v>
      </c>
      <c r="I68" s="11" t="s">
        <v>1994</v>
      </c>
      <c r="J68" s="11" t="s">
        <v>1995</v>
      </c>
      <c r="K68" s="12">
        <v>8289</v>
      </c>
      <c r="L68" s="11" t="s">
        <v>1996</v>
      </c>
      <c r="M68" s="12">
        <v>0</v>
      </c>
      <c r="N68" s="13">
        <v>2113107</v>
      </c>
      <c r="O68" s="13">
        <f t="shared" si="0"/>
        <v>78263.222222222219</v>
      </c>
      <c r="P68" s="13">
        <v>111</v>
      </c>
      <c r="Q68" s="13">
        <v>181</v>
      </c>
      <c r="R68" s="13">
        <f t="shared" si="1"/>
        <v>321314</v>
      </c>
      <c r="S68" s="13">
        <f t="shared" si="2"/>
        <v>399577.22222222225</v>
      </c>
      <c r="T68" s="14">
        <f t="shared" si="3"/>
        <v>0.19586507405744125</v>
      </c>
      <c r="U68" s="11" t="s">
        <v>1997</v>
      </c>
      <c r="V68" s="11" t="s">
        <v>1615</v>
      </c>
      <c r="W68" s="11" t="s">
        <v>841</v>
      </c>
    </row>
    <row r="69" spans="1:23" ht="14.4" x14ac:dyDescent="0.3">
      <c r="A69" s="10">
        <v>68</v>
      </c>
      <c r="B69" s="30" t="s">
        <v>283</v>
      </c>
      <c r="C69" s="30" t="s">
        <v>821</v>
      </c>
      <c r="D69" s="11" t="s">
        <v>31</v>
      </c>
      <c r="E69" s="11" t="s">
        <v>1998</v>
      </c>
      <c r="F69" s="11" t="s">
        <v>1999</v>
      </c>
      <c r="G69" s="12">
        <v>249488</v>
      </c>
      <c r="H69" s="11" t="s">
        <v>2000</v>
      </c>
      <c r="I69" s="11" t="s">
        <v>2001</v>
      </c>
      <c r="J69" s="11" t="s">
        <v>2002</v>
      </c>
      <c r="K69" s="12">
        <v>4670</v>
      </c>
      <c r="L69" s="11" t="s">
        <v>2003</v>
      </c>
      <c r="M69" s="12">
        <v>0</v>
      </c>
      <c r="N69" s="34">
        <v>0</v>
      </c>
      <c r="O69" s="34">
        <f t="shared" si="0"/>
        <v>0</v>
      </c>
      <c r="P69" s="34">
        <v>0</v>
      </c>
      <c r="Q69" s="34">
        <v>0</v>
      </c>
      <c r="R69" s="34">
        <f t="shared" si="1"/>
        <v>254158</v>
      </c>
      <c r="S69" s="34">
        <f t="shared" si="2"/>
        <v>254158</v>
      </c>
      <c r="T69" s="35">
        <f t="shared" si="3"/>
        <v>0</v>
      </c>
      <c r="U69" s="11" t="s">
        <v>2004</v>
      </c>
      <c r="V69" s="11" t="s">
        <v>1615</v>
      </c>
      <c r="W69" s="11" t="s">
        <v>829</v>
      </c>
    </row>
    <row r="70" spans="1:23" ht="14.4" x14ac:dyDescent="0.3">
      <c r="A70" s="3">
        <v>69</v>
      </c>
      <c r="B70" s="30" t="s">
        <v>590</v>
      </c>
      <c r="C70" s="30" t="s">
        <v>592</v>
      </c>
      <c r="D70" s="5" t="s">
        <v>31</v>
      </c>
      <c r="E70" s="5" t="s">
        <v>2005</v>
      </c>
      <c r="F70" s="5" t="s">
        <v>2006</v>
      </c>
      <c r="G70" s="6">
        <v>261819</v>
      </c>
      <c r="H70" s="5" t="s">
        <v>2007</v>
      </c>
      <c r="I70" s="5" t="s">
        <v>31</v>
      </c>
      <c r="J70" s="5" t="s">
        <v>31</v>
      </c>
      <c r="K70" s="6">
        <v>0</v>
      </c>
      <c r="L70" s="5" t="s">
        <v>31</v>
      </c>
      <c r="M70" s="6">
        <v>0</v>
      </c>
      <c r="N70" s="34">
        <v>0</v>
      </c>
      <c r="O70" s="34">
        <f t="shared" si="0"/>
        <v>0</v>
      </c>
      <c r="P70" s="34">
        <v>0</v>
      </c>
      <c r="Q70" s="34">
        <v>0</v>
      </c>
      <c r="R70" s="34">
        <f t="shared" si="1"/>
        <v>261819</v>
      </c>
      <c r="S70" s="34">
        <f t="shared" si="2"/>
        <v>261819</v>
      </c>
      <c r="T70" s="35">
        <f t="shared" si="3"/>
        <v>0</v>
      </c>
      <c r="U70" s="5" t="s">
        <v>2008</v>
      </c>
      <c r="V70" s="5" t="s">
        <v>1615</v>
      </c>
      <c r="W70" s="5" t="s">
        <v>2009</v>
      </c>
    </row>
    <row r="71" spans="1:23" ht="14.4" x14ac:dyDescent="0.3">
      <c r="A71" s="10">
        <v>70</v>
      </c>
      <c r="B71" s="31" t="s">
        <v>800</v>
      </c>
      <c r="C71" s="31" t="s">
        <v>855</v>
      </c>
      <c r="D71" s="5" t="s">
        <v>31</v>
      </c>
      <c r="E71" s="5" t="s">
        <v>2010</v>
      </c>
      <c r="F71" s="5" t="s">
        <v>2011</v>
      </c>
      <c r="G71" s="6">
        <v>360386</v>
      </c>
      <c r="H71" s="5" t="s">
        <v>2012</v>
      </c>
      <c r="I71" s="5" t="s">
        <v>31</v>
      </c>
      <c r="J71" s="5" t="s">
        <v>31</v>
      </c>
      <c r="K71" s="6">
        <v>0</v>
      </c>
      <c r="L71" s="5" t="s">
        <v>31</v>
      </c>
      <c r="M71" s="6">
        <v>0</v>
      </c>
      <c r="N71" s="7">
        <v>611650</v>
      </c>
      <c r="O71" s="7">
        <f t="shared" si="0"/>
        <v>22653.703703703704</v>
      </c>
      <c r="P71" s="7">
        <v>13</v>
      </c>
      <c r="Q71" s="7">
        <v>1915</v>
      </c>
      <c r="R71" s="7">
        <f t="shared" si="1"/>
        <v>360386</v>
      </c>
      <c r="S71" s="7">
        <f t="shared" si="2"/>
        <v>383039.70370370371</v>
      </c>
      <c r="T71" s="8">
        <f t="shared" si="3"/>
        <v>5.9141920497169237E-2</v>
      </c>
      <c r="U71" s="5" t="s">
        <v>2013</v>
      </c>
      <c r="V71" s="5" t="s">
        <v>1615</v>
      </c>
      <c r="W71" s="5" t="s">
        <v>860</v>
      </c>
    </row>
    <row r="72" spans="1:23" ht="14.4" x14ac:dyDescent="0.3">
      <c r="A72" s="3">
        <v>71</v>
      </c>
      <c r="B72" s="30" t="s">
        <v>283</v>
      </c>
      <c r="C72" s="30" t="s">
        <v>583</v>
      </c>
      <c r="D72" s="11" t="s">
        <v>31</v>
      </c>
      <c r="E72" s="11" t="s">
        <v>2014</v>
      </c>
      <c r="F72" s="11" t="s">
        <v>2015</v>
      </c>
      <c r="G72" s="12">
        <v>306451</v>
      </c>
      <c r="H72" s="11" t="s">
        <v>2016</v>
      </c>
      <c r="I72" s="11" t="s">
        <v>31</v>
      </c>
      <c r="J72" s="11" t="s">
        <v>31</v>
      </c>
      <c r="K72" s="12">
        <v>0</v>
      </c>
      <c r="L72" s="11" t="s">
        <v>31</v>
      </c>
      <c r="M72" s="12">
        <v>0</v>
      </c>
      <c r="N72" s="13">
        <v>1994654</v>
      </c>
      <c r="O72" s="13">
        <f t="shared" si="0"/>
        <v>73876.074074074073</v>
      </c>
      <c r="P72" s="13">
        <v>178</v>
      </c>
      <c r="Q72" s="13">
        <v>202</v>
      </c>
      <c r="R72" s="13">
        <f t="shared" si="1"/>
        <v>306451</v>
      </c>
      <c r="S72" s="13">
        <f t="shared" si="2"/>
        <v>380327.07407407404</v>
      </c>
      <c r="T72" s="14">
        <f t="shared" si="3"/>
        <v>0.19424353171261657</v>
      </c>
      <c r="U72" s="11" t="s">
        <v>2017</v>
      </c>
      <c r="V72" s="11" t="s">
        <v>1615</v>
      </c>
      <c r="W72" s="11" t="s">
        <v>588</v>
      </c>
    </row>
    <row r="73" spans="1:23" ht="14.4" x14ac:dyDescent="0.3">
      <c r="A73" s="10">
        <v>72</v>
      </c>
      <c r="B73" s="31" t="s">
        <v>514</v>
      </c>
      <c r="C73" s="31" t="s">
        <v>632</v>
      </c>
      <c r="D73" s="5" t="s">
        <v>31</v>
      </c>
      <c r="E73" s="5" t="s">
        <v>2018</v>
      </c>
      <c r="F73" s="5" t="s">
        <v>2019</v>
      </c>
      <c r="G73" s="6">
        <v>316386</v>
      </c>
      <c r="H73" s="5" t="s">
        <v>2020</v>
      </c>
      <c r="I73" s="5" t="s">
        <v>31</v>
      </c>
      <c r="J73" s="5" t="s">
        <v>31</v>
      </c>
      <c r="K73" s="6">
        <v>0</v>
      </c>
      <c r="L73" s="5" t="s">
        <v>31</v>
      </c>
      <c r="M73" s="6">
        <v>0</v>
      </c>
      <c r="N73" s="7">
        <v>1674949</v>
      </c>
      <c r="O73" s="7">
        <f t="shared" si="0"/>
        <v>62035.148148148146</v>
      </c>
      <c r="P73" s="7">
        <v>56</v>
      </c>
      <c r="Q73" s="7">
        <v>294</v>
      </c>
      <c r="R73" s="7">
        <f t="shared" si="1"/>
        <v>316386</v>
      </c>
      <c r="S73" s="7">
        <f t="shared" si="2"/>
        <v>378421.14814814815</v>
      </c>
      <c r="T73" s="8">
        <f t="shared" si="3"/>
        <v>0.16393150449367064</v>
      </c>
      <c r="U73" s="5" t="s">
        <v>2021</v>
      </c>
      <c r="V73" s="5" t="s">
        <v>1615</v>
      </c>
      <c r="W73" s="5" t="s">
        <v>637</v>
      </c>
    </row>
    <row r="74" spans="1:23" ht="14.4" x14ac:dyDescent="0.3">
      <c r="A74" s="3">
        <v>73</v>
      </c>
      <c r="B74" s="17" t="s">
        <v>51</v>
      </c>
      <c r="C74" s="17" t="s">
        <v>2022</v>
      </c>
      <c r="D74" s="11" t="s">
        <v>2023</v>
      </c>
      <c r="E74" s="11" t="s">
        <v>2024</v>
      </c>
      <c r="F74" s="11" t="s">
        <v>2025</v>
      </c>
      <c r="G74" s="12">
        <v>368327</v>
      </c>
      <c r="H74" s="11" t="s">
        <v>2026</v>
      </c>
      <c r="I74" s="11" t="s">
        <v>31</v>
      </c>
      <c r="J74" s="11" t="s">
        <v>1922</v>
      </c>
      <c r="K74" s="12">
        <v>194</v>
      </c>
      <c r="L74" s="11" t="s">
        <v>1922</v>
      </c>
      <c r="M74" s="12">
        <v>4046</v>
      </c>
      <c r="N74" s="13">
        <v>0</v>
      </c>
      <c r="O74" s="13">
        <f t="shared" si="0"/>
        <v>0</v>
      </c>
      <c r="P74" s="13">
        <v>0</v>
      </c>
      <c r="Q74" s="13">
        <v>0</v>
      </c>
      <c r="R74" s="13">
        <f t="shared" si="1"/>
        <v>372567</v>
      </c>
      <c r="S74" s="13">
        <f t="shared" si="2"/>
        <v>372567</v>
      </c>
      <c r="T74" s="14">
        <f t="shared" si="3"/>
        <v>0</v>
      </c>
      <c r="U74" s="11" t="s">
        <v>2027</v>
      </c>
      <c r="V74" s="11" t="s">
        <v>1615</v>
      </c>
      <c r="W74" s="11"/>
    </row>
    <row r="75" spans="1:23" ht="14.4" x14ac:dyDescent="0.3">
      <c r="A75" s="10">
        <v>74</v>
      </c>
      <c r="B75" s="17" t="s">
        <v>2028</v>
      </c>
      <c r="C75" s="17" t="s">
        <v>2029</v>
      </c>
      <c r="D75" s="5" t="s">
        <v>31</v>
      </c>
      <c r="E75" s="5" t="s">
        <v>2030</v>
      </c>
      <c r="F75" s="5" t="s">
        <v>2031</v>
      </c>
      <c r="G75" s="6">
        <v>370274</v>
      </c>
      <c r="H75" s="5" t="s">
        <v>2032</v>
      </c>
      <c r="I75" s="5" t="s">
        <v>31</v>
      </c>
      <c r="J75" s="5" t="s">
        <v>31</v>
      </c>
      <c r="K75" s="6">
        <v>0</v>
      </c>
      <c r="L75" s="5" t="s">
        <v>31</v>
      </c>
      <c r="M75" s="6">
        <v>0</v>
      </c>
      <c r="N75" s="7">
        <v>0</v>
      </c>
      <c r="O75" s="7">
        <f t="shared" si="0"/>
        <v>0</v>
      </c>
      <c r="P75" s="7">
        <v>0</v>
      </c>
      <c r="Q75" s="7">
        <v>0</v>
      </c>
      <c r="R75" s="7">
        <f t="shared" si="1"/>
        <v>370274</v>
      </c>
      <c r="S75" s="7">
        <f t="shared" si="2"/>
        <v>370274</v>
      </c>
      <c r="T75" s="8">
        <f t="shared" si="3"/>
        <v>0</v>
      </c>
      <c r="U75" s="5" t="s">
        <v>2033</v>
      </c>
      <c r="V75" s="5" t="s">
        <v>1615</v>
      </c>
      <c r="W75" s="5"/>
    </row>
    <row r="76" spans="1:23" ht="14.4" x14ac:dyDescent="0.3">
      <c r="A76" s="3">
        <v>75</v>
      </c>
      <c r="B76" s="30" t="s">
        <v>982</v>
      </c>
      <c r="C76" s="30" t="s">
        <v>984</v>
      </c>
      <c r="D76" s="11" t="s">
        <v>31</v>
      </c>
      <c r="E76" s="11" t="s">
        <v>2034</v>
      </c>
      <c r="F76" s="11" t="s">
        <v>2035</v>
      </c>
      <c r="G76" s="12">
        <v>331652</v>
      </c>
      <c r="H76" s="11" t="s">
        <v>2036</v>
      </c>
      <c r="I76" s="11" t="s">
        <v>2037</v>
      </c>
      <c r="J76" s="11" t="s">
        <v>2038</v>
      </c>
      <c r="K76" s="12">
        <v>8939</v>
      </c>
      <c r="L76" s="11" t="s">
        <v>2039</v>
      </c>
      <c r="M76" s="12">
        <v>0</v>
      </c>
      <c r="N76" s="13">
        <v>762658</v>
      </c>
      <c r="O76" s="13">
        <f t="shared" si="0"/>
        <v>28246.592592592591</v>
      </c>
      <c r="P76" s="13">
        <v>42</v>
      </c>
      <c r="Q76" s="13">
        <v>1389</v>
      </c>
      <c r="R76" s="13">
        <f t="shared" si="1"/>
        <v>340591</v>
      </c>
      <c r="S76" s="13">
        <f t="shared" si="2"/>
        <v>368837.59259259258</v>
      </c>
      <c r="T76" s="14">
        <f t="shared" si="3"/>
        <v>7.6582737659805097E-2</v>
      </c>
      <c r="U76" s="11" t="s">
        <v>2040</v>
      </c>
      <c r="V76" s="11" t="s">
        <v>1615</v>
      </c>
      <c r="W76" s="11" t="s">
        <v>992</v>
      </c>
    </row>
    <row r="77" spans="1:23" ht="14.4" x14ac:dyDescent="0.3">
      <c r="A77" s="10">
        <v>76</v>
      </c>
      <c r="B77" s="31" t="s">
        <v>921</v>
      </c>
      <c r="C77" s="31" t="s">
        <v>923</v>
      </c>
      <c r="D77" s="5" t="s">
        <v>31</v>
      </c>
      <c r="E77" s="5" t="s">
        <v>2041</v>
      </c>
      <c r="F77" s="5" t="s">
        <v>2042</v>
      </c>
      <c r="G77" s="6">
        <v>360308</v>
      </c>
      <c r="H77" s="5" t="s">
        <v>2043</v>
      </c>
      <c r="I77" s="5" t="s">
        <v>31</v>
      </c>
      <c r="J77" s="5" t="s">
        <v>31</v>
      </c>
      <c r="K77" s="6">
        <v>0</v>
      </c>
      <c r="L77" s="5" t="s">
        <v>31</v>
      </c>
      <c r="M77" s="6">
        <v>0</v>
      </c>
      <c r="N77" s="7">
        <v>153793</v>
      </c>
      <c r="O77" s="7">
        <f t="shared" si="0"/>
        <v>5696.0370370370374</v>
      </c>
      <c r="P77" s="7">
        <v>13</v>
      </c>
      <c r="Q77" s="7">
        <v>8028</v>
      </c>
      <c r="R77" s="7">
        <f t="shared" si="1"/>
        <v>360308</v>
      </c>
      <c r="S77" s="7">
        <f t="shared" si="2"/>
        <v>366004.03703703702</v>
      </c>
      <c r="T77" s="8">
        <f t="shared" si="3"/>
        <v>1.5562771064354787E-2</v>
      </c>
      <c r="U77" s="5" t="s">
        <v>2044</v>
      </c>
      <c r="V77" s="5" t="s">
        <v>1615</v>
      </c>
      <c r="W77" s="5" t="s">
        <v>928</v>
      </c>
    </row>
    <row r="78" spans="1:23" ht="14.4" x14ac:dyDescent="0.3">
      <c r="A78" s="3">
        <v>77</v>
      </c>
      <c r="B78" s="31" t="s">
        <v>360</v>
      </c>
      <c r="C78" s="31" t="s">
        <v>790</v>
      </c>
      <c r="D78" s="5" t="s">
        <v>31</v>
      </c>
      <c r="E78" s="5" t="s">
        <v>2045</v>
      </c>
      <c r="F78" s="5" t="s">
        <v>2046</v>
      </c>
      <c r="G78" s="6">
        <v>163842</v>
      </c>
      <c r="H78" s="5" t="s">
        <v>2047</v>
      </c>
      <c r="I78" s="5" t="s">
        <v>2048</v>
      </c>
      <c r="J78" s="5" t="s">
        <v>2049</v>
      </c>
      <c r="K78" s="6">
        <v>65</v>
      </c>
      <c r="L78" s="5" t="s">
        <v>2050</v>
      </c>
      <c r="M78" s="6">
        <v>0</v>
      </c>
      <c r="N78" s="34">
        <f>IFERROR(VLOOKUP(C78,'[1]Colombia Radio'!$C$2:$E$97118,2,0),0)</f>
        <v>0</v>
      </c>
      <c r="O78" s="34">
        <f t="shared" si="0"/>
        <v>0</v>
      </c>
      <c r="P78" s="34">
        <f>IFERROR(VLOOKUP(C78,'[1]Colombia Radio'!$C$2:$E$69000,3,0),0)</f>
        <v>0</v>
      </c>
      <c r="Q78" s="34">
        <f>IFERROR(VLOOKUP(C78,'[1]Colombia Radio'!$C$2:$F$69000,4,0),0)</f>
        <v>0</v>
      </c>
      <c r="R78" s="34">
        <f t="shared" si="1"/>
        <v>163907</v>
      </c>
      <c r="S78" s="34">
        <f t="shared" si="2"/>
        <v>163907</v>
      </c>
      <c r="T78" s="35">
        <f t="shared" si="3"/>
        <v>0</v>
      </c>
      <c r="U78" s="5" t="s">
        <v>2051</v>
      </c>
      <c r="V78" s="5" t="s">
        <v>1615</v>
      </c>
      <c r="W78" s="5" t="s">
        <v>798</v>
      </c>
    </row>
    <row r="79" spans="1:23" ht="14.4" x14ac:dyDescent="0.3">
      <c r="A79" s="10">
        <v>78</v>
      </c>
      <c r="B79" s="17" t="s">
        <v>2052</v>
      </c>
      <c r="C79" s="17" t="s">
        <v>2053</v>
      </c>
      <c r="D79" s="11" t="s">
        <v>31</v>
      </c>
      <c r="E79" s="11" t="s">
        <v>2054</v>
      </c>
      <c r="F79" s="11" t="s">
        <v>2055</v>
      </c>
      <c r="G79" s="12">
        <v>291995</v>
      </c>
      <c r="H79" s="11" t="s">
        <v>2056</v>
      </c>
      <c r="I79" s="11" t="s">
        <v>31</v>
      </c>
      <c r="J79" s="11" t="s">
        <v>31</v>
      </c>
      <c r="K79" s="12">
        <v>0</v>
      </c>
      <c r="L79" s="11" t="s">
        <v>31</v>
      </c>
      <c r="M79" s="12">
        <v>0</v>
      </c>
      <c r="N79" s="13">
        <v>1719506</v>
      </c>
      <c r="O79" s="13">
        <f t="shared" si="0"/>
        <v>63685.407407407409</v>
      </c>
      <c r="P79" s="13">
        <v>92</v>
      </c>
      <c r="Q79" s="13">
        <v>272</v>
      </c>
      <c r="R79" s="13">
        <f t="shared" si="1"/>
        <v>291995</v>
      </c>
      <c r="S79" s="13">
        <f t="shared" si="2"/>
        <v>355680.40740740742</v>
      </c>
      <c r="T79" s="14">
        <f t="shared" si="3"/>
        <v>0.17905233485200145</v>
      </c>
      <c r="U79" s="11" t="s">
        <v>2057</v>
      </c>
      <c r="V79" s="11" t="s">
        <v>1615</v>
      </c>
      <c r="W79" s="11"/>
    </row>
    <row r="80" spans="1:23" ht="14.4" x14ac:dyDescent="0.3">
      <c r="A80" s="3">
        <v>79</v>
      </c>
      <c r="B80" s="31" t="s">
        <v>190</v>
      </c>
      <c r="C80" s="31" t="s">
        <v>569</v>
      </c>
      <c r="D80" s="5" t="s">
        <v>31</v>
      </c>
      <c r="E80" s="5" t="s">
        <v>2058</v>
      </c>
      <c r="F80" s="5" t="s">
        <v>2059</v>
      </c>
      <c r="G80" s="6">
        <v>354717</v>
      </c>
      <c r="H80" s="5" t="s">
        <v>2060</v>
      </c>
      <c r="I80" s="5" t="s">
        <v>31</v>
      </c>
      <c r="J80" s="5" t="s">
        <v>31</v>
      </c>
      <c r="K80" s="6">
        <v>0</v>
      </c>
      <c r="L80" s="5" t="s">
        <v>31</v>
      </c>
      <c r="M80" s="6">
        <v>0</v>
      </c>
      <c r="N80" s="7">
        <v>0</v>
      </c>
      <c r="O80" s="7">
        <f t="shared" si="0"/>
        <v>0</v>
      </c>
      <c r="P80" s="7">
        <v>0</v>
      </c>
      <c r="Q80" s="7">
        <v>0</v>
      </c>
      <c r="R80" s="7">
        <f t="shared" si="1"/>
        <v>354717</v>
      </c>
      <c r="S80" s="7">
        <f t="shared" si="2"/>
        <v>354717</v>
      </c>
      <c r="T80" s="8">
        <f t="shared" si="3"/>
        <v>0</v>
      </c>
      <c r="U80" s="5" t="s">
        <v>2061</v>
      </c>
      <c r="V80" s="5" t="s">
        <v>1615</v>
      </c>
      <c r="W80" s="5" t="s">
        <v>574</v>
      </c>
    </row>
    <row r="81" spans="1:23" ht="14.4" x14ac:dyDescent="0.3">
      <c r="A81" s="10">
        <v>80</v>
      </c>
      <c r="B81" s="30" t="s">
        <v>2062</v>
      </c>
      <c r="C81" s="36" t="s">
        <v>2063</v>
      </c>
      <c r="D81" s="11" t="s">
        <v>31</v>
      </c>
      <c r="E81" s="11" t="s">
        <v>2064</v>
      </c>
      <c r="F81" s="11" t="s">
        <v>2065</v>
      </c>
      <c r="G81" s="12">
        <v>320938</v>
      </c>
      <c r="H81" s="11" t="s">
        <v>2066</v>
      </c>
      <c r="I81" s="11" t="s">
        <v>2067</v>
      </c>
      <c r="J81" s="11" t="s">
        <v>2068</v>
      </c>
      <c r="K81" s="12">
        <v>9434</v>
      </c>
      <c r="L81" s="11" t="s">
        <v>2069</v>
      </c>
      <c r="M81" s="12">
        <v>0</v>
      </c>
      <c r="N81" s="13">
        <v>593693</v>
      </c>
      <c r="O81" s="13">
        <f t="shared" si="0"/>
        <v>21988.629629629631</v>
      </c>
      <c r="P81" s="13">
        <v>46</v>
      </c>
      <c r="Q81" s="13">
        <v>1990</v>
      </c>
      <c r="R81" s="13">
        <f t="shared" si="1"/>
        <v>330372</v>
      </c>
      <c r="S81" s="13">
        <f t="shared" si="2"/>
        <v>352360.62962962961</v>
      </c>
      <c r="T81" s="14">
        <f t="shared" si="3"/>
        <v>6.2403764157028946E-2</v>
      </c>
      <c r="U81" s="11" t="s">
        <v>2070</v>
      </c>
      <c r="V81" s="11" t="s">
        <v>1615</v>
      </c>
      <c r="W81" s="11" t="s">
        <v>2071</v>
      </c>
    </row>
    <row r="82" spans="1:23" ht="14.4" x14ac:dyDescent="0.3">
      <c r="A82" s="3">
        <v>81</v>
      </c>
      <c r="B82" s="30" t="s">
        <v>994</v>
      </c>
      <c r="C82" s="30" t="s">
        <v>996</v>
      </c>
      <c r="D82" s="5" t="s">
        <v>31</v>
      </c>
      <c r="E82" s="5" t="s">
        <v>2072</v>
      </c>
      <c r="F82" s="5" t="s">
        <v>2073</v>
      </c>
      <c r="G82" s="6">
        <v>343409</v>
      </c>
      <c r="H82" s="5" t="s">
        <v>2074</v>
      </c>
      <c r="I82" s="5" t="s">
        <v>31</v>
      </c>
      <c r="J82" s="5" t="s">
        <v>31</v>
      </c>
      <c r="K82" s="6">
        <v>0</v>
      </c>
      <c r="L82" s="5" t="s">
        <v>31</v>
      </c>
      <c r="M82" s="6">
        <v>0</v>
      </c>
      <c r="N82" s="7">
        <v>0</v>
      </c>
      <c r="O82" s="7">
        <f t="shared" si="0"/>
        <v>0</v>
      </c>
      <c r="P82" s="7">
        <v>0</v>
      </c>
      <c r="Q82" s="7">
        <v>0</v>
      </c>
      <c r="R82" s="7">
        <f t="shared" si="1"/>
        <v>343409</v>
      </c>
      <c r="S82" s="7">
        <f t="shared" si="2"/>
        <v>343409</v>
      </c>
      <c r="T82" s="8">
        <f t="shared" si="3"/>
        <v>0</v>
      </c>
      <c r="U82" s="5" t="s">
        <v>2075</v>
      </c>
      <c r="V82" s="5" t="s">
        <v>1615</v>
      </c>
      <c r="W82" s="5" t="s">
        <v>1001</v>
      </c>
    </row>
    <row r="83" spans="1:23" ht="14.4" x14ac:dyDescent="0.3">
      <c r="A83" s="10">
        <v>82</v>
      </c>
      <c r="B83" s="30" t="s">
        <v>673</v>
      </c>
      <c r="C83" s="30" t="s">
        <v>675</v>
      </c>
      <c r="D83" s="11" t="s">
        <v>31</v>
      </c>
      <c r="E83" s="11" t="s">
        <v>2076</v>
      </c>
      <c r="F83" s="11" t="s">
        <v>2077</v>
      </c>
      <c r="G83" s="12">
        <v>308906</v>
      </c>
      <c r="H83" s="11" t="s">
        <v>2078</v>
      </c>
      <c r="I83" s="11" t="s">
        <v>2079</v>
      </c>
      <c r="J83" s="11" t="s">
        <v>2080</v>
      </c>
      <c r="K83" s="12">
        <v>7021</v>
      </c>
      <c r="L83" s="11" t="s">
        <v>2081</v>
      </c>
      <c r="M83" s="12">
        <v>0</v>
      </c>
      <c r="N83" s="13">
        <v>728705</v>
      </c>
      <c r="O83" s="13">
        <f t="shared" si="0"/>
        <v>26989.074074074073</v>
      </c>
      <c r="P83" s="13">
        <v>42</v>
      </c>
      <c r="Q83" s="13">
        <v>1477</v>
      </c>
      <c r="R83" s="13">
        <f t="shared" si="1"/>
        <v>315927</v>
      </c>
      <c r="S83" s="13">
        <f t="shared" si="2"/>
        <v>342916.07407407404</v>
      </c>
      <c r="T83" s="14">
        <f t="shared" si="3"/>
        <v>7.8704604754818538E-2</v>
      </c>
      <c r="U83" s="11" t="s">
        <v>2082</v>
      </c>
      <c r="V83" s="11" t="s">
        <v>1615</v>
      </c>
      <c r="W83" s="11" t="s">
        <v>682</v>
      </c>
    </row>
    <row r="84" spans="1:23" ht="14.4" x14ac:dyDescent="0.3">
      <c r="A84" s="3">
        <v>83</v>
      </c>
      <c r="B84" s="30" t="s">
        <v>1539</v>
      </c>
      <c r="C84" s="30" t="s">
        <v>1540</v>
      </c>
      <c r="D84" s="5" t="s">
        <v>31</v>
      </c>
      <c r="E84" s="5" t="s">
        <v>2083</v>
      </c>
      <c r="F84" s="5" t="s">
        <v>2084</v>
      </c>
      <c r="G84" s="6">
        <v>239525</v>
      </c>
      <c r="H84" s="5" t="s">
        <v>2085</v>
      </c>
      <c r="I84" s="5" t="s">
        <v>31</v>
      </c>
      <c r="J84" s="5" t="s">
        <v>31</v>
      </c>
      <c r="K84" s="6">
        <v>0</v>
      </c>
      <c r="L84" s="5" t="s">
        <v>31</v>
      </c>
      <c r="M84" s="6">
        <v>0</v>
      </c>
      <c r="N84" s="34">
        <v>0</v>
      </c>
      <c r="O84" s="34">
        <f t="shared" si="0"/>
        <v>0</v>
      </c>
      <c r="P84" s="34">
        <v>0</v>
      </c>
      <c r="Q84" s="34">
        <v>0</v>
      </c>
      <c r="R84" s="34">
        <f t="shared" si="1"/>
        <v>239525</v>
      </c>
      <c r="S84" s="34">
        <f t="shared" si="2"/>
        <v>239525</v>
      </c>
      <c r="T84" s="35">
        <f t="shared" si="3"/>
        <v>0</v>
      </c>
      <c r="U84" s="5" t="s">
        <v>2086</v>
      </c>
      <c r="V84" s="5" t="s">
        <v>1615</v>
      </c>
      <c r="W84" s="5" t="s">
        <v>1545</v>
      </c>
    </row>
    <row r="85" spans="1:23" ht="14.4" x14ac:dyDescent="0.3">
      <c r="A85" s="10">
        <v>84</v>
      </c>
      <c r="B85" s="30" t="s">
        <v>871</v>
      </c>
      <c r="C85" s="30" t="s">
        <v>873</v>
      </c>
      <c r="D85" s="11" t="s">
        <v>31</v>
      </c>
      <c r="E85" s="11" t="s">
        <v>2087</v>
      </c>
      <c r="F85" s="11" t="s">
        <v>2088</v>
      </c>
      <c r="G85" s="12">
        <v>217625</v>
      </c>
      <c r="H85" s="11" t="s">
        <v>2089</v>
      </c>
      <c r="I85" s="11" t="s">
        <v>2090</v>
      </c>
      <c r="J85" s="11" t="s">
        <v>2091</v>
      </c>
      <c r="K85" s="12">
        <v>4237</v>
      </c>
      <c r="L85" s="11" t="s">
        <v>2092</v>
      </c>
      <c r="M85" s="12">
        <v>0</v>
      </c>
      <c r="N85" s="34">
        <v>0</v>
      </c>
      <c r="O85" s="34">
        <f t="shared" si="0"/>
        <v>0</v>
      </c>
      <c r="P85" s="34">
        <v>0</v>
      </c>
      <c r="Q85" s="34">
        <v>0</v>
      </c>
      <c r="R85" s="34">
        <f t="shared" si="1"/>
        <v>221862</v>
      </c>
      <c r="S85" s="34">
        <f t="shared" si="2"/>
        <v>221862</v>
      </c>
      <c r="T85" s="35">
        <f t="shared" si="3"/>
        <v>0</v>
      </c>
      <c r="U85" s="11" t="s">
        <v>2093</v>
      </c>
      <c r="V85" s="11" t="s">
        <v>1615</v>
      </c>
      <c r="W85" s="11" t="s">
        <v>881</v>
      </c>
    </row>
    <row r="86" spans="1:23" ht="14.4" x14ac:dyDescent="0.3">
      <c r="A86" s="3">
        <v>85</v>
      </c>
      <c r="B86" s="31" t="s">
        <v>862</v>
      </c>
      <c r="C86" s="31" t="s">
        <v>1577</v>
      </c>
      <c r="D86" s="5" t="s">
        <v>31</v>
      </c>
      <c r="E86" s="5" t="s">
        <v>2094</v>
      </c>
      <c r="F86" s="5" t="s">
        <v>2095</v>
      </c>
      <c r="G86" s="6">
        <v>287573</v>
      </c>
      <c r="H86" s="5" t="s">
        <v>2096</v>
      </c>
      <c r="I86" s="5" t="s">
        <v>2097</v>
      </c>
      <c r="J86" s="5" t="s">
        <v>2098</v>
      </c>
      <c r="K86" s="6">
        <v>8507</v>
      </c>
      <c r="L86" s="5" t="s">
        <v>2099</v>
      </c>
      <c r="M86" s="6">
        <v>0</v>
      </c>
      <c r="N86" s="7">
        <v>1173120</v>
      </c>
      <c r="O86" s="7">
        <f t="shared" si="0"/>
        <v>43448.888888888891</v>
      </c>
      <c r="P86" s="7">
        <v>37</v>
      </c>
      <c r="Q86" s="7">
        <v>610</v>
      </c>
      <c r="R86" s="7">
        <f t="shared" si="1"/>
        <v>296080</v>
      </c>
      <c r="S86" s="7">
        <f t="shared" si="2"/>
        <v>339528.88888888888</v>
      </c>
      <c r="T86" s="8">
        <f t="shared" si="3"/>
        <v>0.12796816503913921</v>
      </c>
      <c r="U86" s="5" t="s">
        <v>2100</v>
      </c>
      <c r="V86" s="5" t="s">
        <v>1615</v>
      </c>
      <c r="W86" s="5" t="s">
        <v>1585</v>
      </c>
    </row>
    <row r="87" spans="1:23" ht="14.4" x14ac:dyDescent="0.3">
      <c r="A87" s="10">
        <v>86</v>
      </c>
      <c r="B87" s="30" t="s">
        <v>620</v>
      </c>
      <c r="C87" s="30" t="s">
        <v>622</v>
      </c>
      <c r="D87" s="11" t="s">
        <v>31</v>
      </c>
      <c r="E87" s="11" t="s">
        <v>2101</v>
      </c>
      <c r="F87" s="11" t="s">
        <v>2102</v>
      </c>
      <c r="G87" s="12">
        <v>203871</v>
      </c>
      <c r="H87" s="11" t="s">
        <v>2103</v>
      </c>
      <c r="I87" s="11" t="s">
        <v>1894</v>
      </c>
      <c r="J87" s="11" t="s">
        <v>2104</v>
      </c>
      <c r="K87" s="12">
        <v>6290</v>
      </c>
      <c r="L87" s="11" t="s">
        <v>2105</v>
      </c>
      <c r="M87" s="12">
        <v>0</v>
      </c>
      <c r="N87" s="34">
        <f>IFERROR(VLOOKUP(C87,'[1]Colombia Radio'!$C$2:$E$97118,2,0),0)</f>
        <v>0</v>
      </c>
      <c r="O87" s="34">
        <f t="shared" si="0"/>
        <v>0</v>
      </c>
      <c r="P87" s="34">
        <f>IFERROR(VLOOKUP(C87,'[1]Colombia Radio'!$C$2:$E$69000,3,0),0)</f>
        <v>0</v>
      </c>
      <c r="Q87" s="34">
        <f>IFERROR(VLOOKUP(C87,'[1]Colombia Radio'!$C$2:$F$69000,4,0),0)</f>
        <v>0</v>
      </c>
      <c r="R87" s="34">
        <f t="shared" si="1"/>
        <v>210161</v>
      </c>
      <c r="S87" s="34">
        <f t="shared" si="2"/>
        <v>210161</v>
      </c>
      <c r="T87" s="35">
        <f t="shared" si="3"/>
        <v>0</v>
      </c>
      <c r="U87" s="11" t="s">
        <v>2106</v>
      </c>
      <c r="V87" s="11" t="s">
        <v>1615</v>
      </c>
      <c r="W87" s="11" t="s">
        <v>630</v>
      </c>
    </row>
    <row r="88" spans="1:23" ht="14.4" x14ac:dyDescent="0.3">
      <c r="A88" s="3">
        <v>87</v>
      </c>
      <c r="B88" s="17" t="s">
        <v>2107</v>
      </c>
      <c r="C88" s="17" t="s">
        <v>2108</v>
      </c>
      <c r="D88" s="11" t="s">
        <v>31</v>
      </c>
      <c r="E88" s="11" t="s">
        <v>2109</v>
      </c>
      <c r="F88" s="11" t="s">
        <v>2110</v>
      </c>
      <c r="G88" s="12">
        <v>304118</v>
      </c>
      <c r="H88" s="11" t="s">
        <v>2111</v>
      </c>
      <c r="I88" s="11" t="s">
        <v>31</v>
      </c>
      <c r="J88" s="11" t="s">
        <v>31</v>
      </c>
      <c r="K88" s="12">
        <v>0</v>
      </c>
      <c r="L88" s="11" t="s">
        <v>31</v>
      </c>
      <c r="M88" s="12">
        <v>0</v>
      </c>
      <c r="N88" s="13">
        <v>933028</v>
      </c>
      <c r="O88" s="13">
        <f t="shared" si="0"/>
        <v>34556.592592592591</v>
      </c>
      <c r="P88" s="13">
        <v>48</v>
      </c>
      <c r="Q88" s="13">
        <v>995</v>
      </c>
      <c r="R88" s="13">
        <f t="shared" si="1"/>
        <v>304118</v>
      </c>
      <c r="S88" s="13">
        <f t="shared" si="2"/>
        <v>338674.59259259258</v>
      </c>
      <c r="T88" s="14">
        <f t="shared" si="3"/>
        <v>0.10203479489871956</v>
      </c>
      <c r="U88" s="11" t="s">
        <v>2112</v>
      </c>
      <c r="V88" s="11" t="s">
        <v>1615</v>
      </c>
      <c r="W88" s="11" t="s">
        <v>2113</v>
      </c>
    </row>
    <row r="89" spans="1:23" ht="14.4" x14ac:dyDescent="0.3">
      <c r="A89" s="10">
        <v>88</v>
      </c>
      <c r="B89" s="31" t="s">
        <v>2114</v>
      </c>
      <c r="C89" s="31" t="s">
        <v>2115</v>
      </c>
      <c r="D89" s="5" t="s">
        <v>31</v>
      </c>
      <c r="E89" s="5" t="s">
        <v>2116</v>
      </c>
      <c r="F89" s="5" t="s">
        <v>2117</v>
      </c>
      <c r="G89" s="6">
        <v>286011</v>
      </c>
      <c r="H89" s="5" t="s">
        <v>2118</v>
      </c>
      <c r="I89" s="5" t="s">
        <v>31</v>
      </c>
      <c r="J89" s="5" t="s">
        <v>31</v>
      </c>
      <c r="K89" s="6">
        <v>0</v>
      </c>
      <c r="L89" s="5" t="s">
        <v>31</v>
      </c>
      <c r="M89" s="6">
        <v>0</v>
      </c>
      <c r="N89" s="7">
        <v>1392924</v>
      </c>
      <c r="O89" s="7">
        <f t="shared" si="0"/>
        <v>51589.777777777781</v>
      </c>
      <c r="P89" s="7">
        <v>100</v>
      </c>
      <c r="Q89" s="7">
        <v>413</v>
      </c>
      <c r="R89" s="7">
        <f t="shared" si="1"/>
        <v>286011</v>
      </c>
      <c r="S89" s="7">
        <f t="shared" si="2"/>
        <v>337600.77777777775</v>
      </c>
      <c r="T89" s="8">
        <f t="shared" si="3"/>
        <v>0.15281297074420908</v>
      </c>
      <c r="U89" s="5" t="s">
        <v>2119</v>
      </c>
      <c r="V89" s="5" t="s">
        <v>1615</v>
      </c>
      <c r="W89" s="5" t="s">
        <v>2120</v>
      </c>
    </row>
    <row r="90" spans="1:23" ht="14.4" x14ac:dyDescent="0.3">
      <c r="A90" s="3">
        <v>89</v>
      </c>
      <c r="B90" s="17" t="s">
        <v>2121</v>
      </c>
      <c r="C90" s="17" t="s">
        <v>2122</v>
      </c>
      <c r="D90" s="11" t="s">
        <v>31</v>
      </c>
      <c r="E90" s="11" t="s">
        <v>2123</v>
      </c>
      <c r="F90" s="11" t="s">
        <v>2124</v>
      </c>
      <c r="G90" s="12">
        <v>101598</v>
      </c>
      <c r="H90" s="11" t="s">
        <v>2125</v>
      </c>
      <c r="I90" s="11" t="s">
        <v>2126</v>
      </c>
      <c r="J90" s="11" t="s">
        <v>2127</v>
      </c>
      <c r="K90" s="12">
        <v>2082</v>
      </c>
      <c r="L90" s="11" t="s">
        <v>2128</v>
      </c>
      <c r="M90" s="12">
        <v>0</v>
      </c>
      <c r="N90" s="34">
        <f>IFERROR(VLOOKUP(C90,'[1]Colombia Radio'!$C$2:$E$97118,2,0),0)</f>
        <v>0</v>
      </c>
      <c r="O90" s="34">
        <f t="shared" si="0"/>
        <v>0</v>
      </c>
      <c r="P90" s="34">
        <f>IFERROR(VLOOKUP(C90,'[1]Colombia Radio'!$C$2:$E$69000,3,0),0)</f>
        <v>0</v>
      </c>
      <c r="Q90" s="34">
        <f>IFERROR(VLOOKUP(C90,'[1]Colombia Radio'!$C$2:$F$69000,4,0),0)</f>
        <v>0</v>
      </c>
      <c r="R90" s="34">
        <f t="shared" si="1"/>
        <v>103680</v>
      </c>
      <c r="S90" s="34">
        <f t="shared" si="2"/>
        <v>103680</v>
      </c>
      <c r="T90" s="35">
        <f t="shared" si="3"/>
        <v>0</v>
      </c>
      <c r="U90" s="11" t="s">
        <v>2129</v>
      </c>
      <c r="V90" s="11" t="s">
        <v>1615</v>
      </c>
      <c r="W90" s="11"/>
    </row>
    <row r="91" spans="1:23" ht="14.4" x14ac:dyDescent="0.3">
      <c r="A91" s="10">
        <v>90</v>
      </c>
      <c r="B91" s="30" t="s">
        <v>862</v>
      </c>
      <c r="C91" s="30" t="s">
        <v>1546</v>
      </c>
      <c r="D91" s="11" t="s">
        <v>31</v>
      </c>
      <c r="E91" s="11" t="s">
        <v>2130</v>
      </c>
      <c r="F91" s="11" t="s">
        <v>2131</v>
      </c>
      <c r="G91" s="12">
        <v>279173</v>
      </c>
      <c r="H91" s="11" t="s">
        <v>2132</v>
      </c>
      <c r="I91" s="11" t="s">
        <v>31</v>
      </c>
      <c r="J91" s="11" t="s">
        <v>31</v>
      </c>
      <c r="K91" s="12">
        <v>0</v>
      </c>
      <c r="L91" s="11" t="s">
        <v>31</v>
      </c>
      <c r="M91" s="12">
        <v>0</v>
      </c>
      <c r="N91" s="13">
        <v>1547289</v>
      </c>
      <c r="O91" s="13">
        <f t="shared" si="0"/>
        <v>57307</v>
      </c>
      <c r="P91" s="13">
        <v>113</v>
      </c>
      <c r="Q91" s="13">
        <v>334</v>
      </c>
      <c r="R91" s="13">
        <f t="shared" si="1"/>
        <v>279173</v>
      </c>
      <c r="S91" s="13">
        <f t="shared" si="2"/>
        <v>336480</v>
      </c>
      <c r="T91" s="14">
        <f t="shared" si="3"/>
        <v>0.17031324298621017</v>
      </c>
      <c r="U91" s="11" t="s">
        <v>2133</v>
      </c>
      <c r="V91" s="11" t="s">
        <v>1615</v>
      </c>
      <c r="W91" s="11" t="s">
        <v>1551</v>
      </c>
    </row>
    <row r="92" spans="1:23" ht="14.4" x14ac:dyDescent="0.3">
      <c r="A92" s="3">
        <v>91</v>
      </c>
      <c r="B92" s="30" t="s">
        <v>812</v>
      </c>
      <c r="C92" s="30" t="s">
        <v>814</v>
      </c>
      <c r="D92" s="11" t="s">
        <v>31</v>
      </c>
      <c r="E92" s="11" t="s">
        <v>2134</v>
      </c>
      <c r="F92" s="11" t="s">
        <v>2135</v>
      </c>
      <c r="G92" s="12">
        <v>264723</v>
      </c>
      <c r="H92" s="11" t="s">
        <v>2136</v>
      </c>
      <c r="I92" s="11" t="s">
        <v>31</v>
      </c>
      <c r="J92" s="11" t="s">
        <v>31</v>
      </c>
      <c r="K92" s="12">
        <v>0</v>
      </c>
      <c r="L92" s="11" t="s">
        <v>31</v>
      </c>
      <c r="M92" s="12">
        <v>0</v>
      </c>
      <c r="N92" s="34">
        <f>IFERROR(VLOOKUP(C92,'[1]Colombia Radio'!$C$2:$E$97118,2,0),0)</f>
        <v>0</v>
      </c>
      <c r="O92" s="34">
        <f t="shared" si="0"/>
        <v>0</v>
      </c>
      <c r="P92" s="34">
        <f>IFERROR(VLOOKUP(C92,'[1]Colombia Radio'!$C$2:$E$69000,3,0),0)</f>
        <v>0</v>
      </c>
      <c r="Q92" s="34">
        <f>IFERROR(VLOOKUP(C92,'[1]Colombia Radio'!$C$2:$F$69000,4,0),0)</f>
        <v>0</v>
      </c>
      <c r="R92" s="34">
        <f t="shared" si="1"/>
        <v>264723</v>
      </c>
      <c r="S92" s="34">
        <f t="shared" si="2"/>
        <v>264723</v>
      </c>
      <c r="T92" s="35">
        <f t="shared" si="3"/>
        <v>0</v>
      </c>
      <c r="U92" s="11" t="s">
        <v>2137</v>
      </c>
      <c r="V92" s="11" t="s">
        <v>1615</v>
      </c>
      <c r="W92" s="11" t="s">
        <v>819</v>
      </c>
    </row>
    <row r="93" spans="1:23" ht="14.4" x14ac:dyDescent="0.3">
      <c r="A93" s="10">
        <v>92</v>
      </c>
      <c r="B93" s="30" t="s">
        <v>714</v>
      </c>
      <c r="C93" s="30" t="s">
        <v>716</v>
      </c>
      <c r="D93" s="5" t="s">
        <v>31</v>
      </c>
      <c r="E93" s="5" t="s">
        <v>2138</v>
      </c>
      <c r="F93" s="5" t="s">
        <v>2139</v>
      </c>
      <c r="G93" s="6">
        <v>303266</v>
      </c>
      <c r="H93" s="5" t="s">
        <v>2140</v>
      </c>
      <c r="I93" s="5" t="s">
        <v>31</v>
      </c>
      <c r="J93" s="5" t="s">
        <v>31</v>
      </c>
      <c r="K93" s="6">
        <v>0</v>
      </c>
      <c r="L93" s="5" t="s">
        <v>31</v>
      </c>
      <c r="M93" s="6">
        <v>0</v>
      </c>
      <c r="N93" s="7">
        <v>786753</v>
      </c>
      <c r="O93" s="7">
        <f t="shared" si="0"/>
        <v>29139</v>
      </c>
      <c r="P93" s="7">
        <v>76</v>
      </c>
      <c r="Q93" s="7">
        <v>1317</v>
      </c>
      <c r="R93" s="7">
        <f t="shared" si="1"/>
        <v>303266</v>
      </c>
      <c r="S93" s="7">
        <f t="shared" si="2"/>
        <v>332405</v>
      </c>
      <c r="T93" s="8">
        <f t="shared" si="3"/>
        <v>8.766113626449662E-2</v>
      </c>
      <c r="U93" s="5" t="s">
        <v>2141</v>
      </c>
      <c r="V93" s="5" t="s">
        <v>1615</v>
      </c>
      <c r="W93" s="5" t="s">
        <v>721</v>
      </c>
    </row>
    <row r="94" spans="1:23" ht="14.4" x14ac:dyDescent="0.3">
      <c r="A94" s="3">
        <v>93</v>
      </c>
      <c r="B94" s="30" t="s">
        <v>2142</v>
      </c>
      <c r="C94" s="30" t="s">
        <v>2143</v>
      </c>
      <c r="D94" s="5" t="s">
        <v>31</v>
      </c>
      <c r="E94" s="5" t="s">
        <v>2144</v>
      </c>
      <c r="F94" s="5" t="s">
        <v>2145</v>
      </c>
      <c r="G94" s="6">
        <v>231498</v>
      </c>
      <c r="H94" s="5" t="s">
        <v>2146</v>
      </c>
      <c r="I94" s="5" t="s">
        <v>2147</v>
      </c>
      <c r="J94" s="5" t="s">
        <v>1026</v>
      </c>
      <c r="K94" s="6">
        <v>4552</v>
      </c>
      <c r="L94" s="5" t="s">
        <v>2148</v>
      </c>
      <c r="M94" s="6">
        <v>0</v>
      </c>
      <c r="N94" s="34">
        <v>0</v>
      </c>
      <c r="O94" s="34">
        <f t="shared" si="0"/>
        <v>0</v>
      </c>
      <c r="P94" s="34">
        <v>0</v>
      </c>
      <c r="Q94" s="34">
        <v>0</v>
      </c>
      <c r="R94" s="34">
        <f t="shared" si="1"/>
        <v>236050</v>
      </c>
      <c r="S94" s="34">
        <f t="shared" si="2"/>
        <v>236050</v>
      </c>
      <c r="T94" s="35">
        <f t="shared" si="3"/>
        <v>0</v>
      </c>
      <c r="U94" s="5" t="s">
        <v>2149</v>
      </c>
      <c r="V94" s="5" t="s">
        <v>1615</v>
      </c>
      <c r="W94" s="5" t="s">
        <v>2150</v>
      </c>
    </row>
    <row r="95" spans="1:23" ht="14.4" x14ac:dyDescent="0.3">
      <c r="A95" s="10">
        <v>94</v>
      </c>
      <c r="B95" s="31" t="s">
        <v>773</v>
      </c>
      <c r="C95" s="31" t="s">
        <v>775</v>
      </c>
      <c r="D95" s="5" t="s">
        <v>31</v>
      </c>
      <c r="E95" s="5" t="s">
        <v>2151</v>
      </c>
      <c r="F95" s="5" t="s">
        <v>2152</v>
      </c>
      <c r="G95" s="6">
        <v>101196</v>
      </c>
      <c r="H95" s="5" t="s">
        <v>2153</v>
      </c>
      <c r="I95" s="5" t="s">
        <v>31</v>
      </c>
      <c r="J95" s="5" t="s">
        <v>31</v>
      </c>
      <c r="K95" s="6">
        <v>0</v>
      </c>
      <c r="L95" s="5" t="s">
        <v>31</v>
      </c>
      <c r="M95" s="6">
        <v>0</v>
      </c>
      <c r="N95" s="34">
        <v>0</v>
      </c>
      <c r="O95" s="34">
        <f t="shared" si="0"/>
        <v>0</v>
      </c>
      <c r="P95" s="34">
        <v>0</v>
      </c>
      <c r="Q95" s="34">
        <v>0</v>
      </c>
      <c r="R95" s="34">
        <f t="shared" si="1"/>
        <v>101196</v>
      </c>
      <c r="S95" s="34">
        <f t="shared" si="2"/>
        <v>101196</v>
      </c>
      <c r="T95" s="35">
        <f t="shared" si="3"/>
        <v>0</v>
      </c>
      <c r="U95" s="5" t="s">
        <v>2154</v>
      </c>
      <c r="V95" s="5" t="s">
        <v>1615</v>
      </c>
      <c r="W95" s="5"/>
    </row>
    <row r="96" spans="1:23" ht="14.4" x14ac:dyDescent="0.3">
      <c r="A96" s="3">
        <v>95</v>
      </c>
      <c r="B96" s="31" t="s">
        <v>862</v>
      </c>
      <c r="C96" s="31" t="s">
        <v>864</v>
      </c>
      <c r="D96" s="11" t="s">
        <v>31</v>
      </c>
      <c r="E96" s="11" t="s">
        <v>2155</v>
      </c>
      <c r="F96" s="11" t="s">
        <v>2156</v>
      </c>
      <c r="G96" s="12">
        <v>224657</v>
      </c>
      <c r="H96" s="11" t="s">
        <v>2157</v>
      </c>
      <c r="I96" s="11" t="s">
        <v>31</v>
      </c>
      <c r="J96" s="11" t="s">
        <v>31</v>
      </c>
      <c r="K96" s="12">
        <v>0</v>
      </c>
      <c r="L96" s="11" t="s">
        <v>31</v>
      </c>
      <c r="M96" s="12">
        <v>0</v>
      </c>
      <c r="N96" s="34">
        <v>0</v>
      </c>
      <c r="O96" s="34">
        <f t="shared" si="0"/>
        <v>0</v>
      </c>
      <c r="P96" s="34">
        <v>0</v>
      </c>
      <c r="Q96" s="34">
        <v>0</v>
      </c>
      <c r="R96" s="34">
        <f t="shared" si="1"/>
        <v>224657</v>
      </c>
      <c r="S96" s="34">
        <f t="shared" si="2"/>
        <v>224657</v>
      </c>
      <c r="T96" s="35">
        <f t="shared" si="3"/>
        <v>0</v>
      </c>
      <c r="U96" s="11" t="s">
        <v>2158</v>
      </c>
      <c r="V96" s="11" t="s">
        <v>1615</v>
      </c>
      <c r="W96" s="11" t="s">
        <v>869</v>
      </c>
    </row>
    <row r="97" spans="1:23" ht="14.4" x14ac:dyDescent="0.3">
      <c r="A97" s="10">
        <v>96</v>
      </c>
      <c r="B97" s="31" t="s">
        <v>883</v>
      </c>
      <c r="C97" s="31" t="s">
        <v>885</v>
      </c>
      <c r="D97" s="11" t="s">
        <v>31</v>
      </c>
      <c r="E97" s="11" t="s">
        <v>2159</v>
      </c>
      <c r="F97" s="11" t="s">
        <v>2160</v>
      </c>
      <c r="G97" s="12">
        <v>285415</v>
      </c>
      <c r="H97" s="11" t="s">
        <v>2161</v>
      </c>
      <c r="I97" s="11" t="s">
        <v>31</v>
      </c>
      <c r="J97" s="11" t="s">
        <v>31</v>
      </c>
      <c r="K97" s="12">
        <v>0</v>
      </c>
      <c r="L97" s="11" t="s">
        <v>31</v>
      </c>
      <c r="M97" s="12">
        <v>0</v>
      </c>
      <c r="N97" s="13">
        <v>1156615</v>
      </c>
      <c r="O97" s="13">
        <f t="shared" si="0"/>
        <v>42837.592592592591</v>
      </c>
      <c r="P97" s="13">
        <v>51</v>
      </c>
      <c r="Q97" s="13">
        <v>629</v>
      </c>
      <c r="R97" s="13">
        <f t="shared" si="1"/>
        <v>285415</v>
      </c>
      <c r="S97" s="13">
        <f t="shared" si="2"/>
        <v>328252.59259259258</v>
      </c>
      <c r="T97" s="14">
        <f t="shared" si="3"/>
        <v>0.13050191699707317</v>
      </c>
      <c r="U97" s="11" t="s">
        <v>2162</v>
      </c>
      <c r="V97" s="11" t="s">
        <v>1615</v>
      </c>
      <c r="W97" s="11" t="s">
        <v>890</v>
      </c>
    </row>
    <row r="98" spans="1:23" ht="14.4" x14ac:dyDescent="0.3">
      <c r="A98" s="3">
        <v>97</v>
      </c>
      <c r="B98" s="31" t="s">
        <v>208</v>
      </c>
      <c r="C98" s="31" t="s">
        <v>1511</v>
      </c>
      <c r="D98" s="5" t="s">
        <v>31</v>
      </c>
      <c r="E98" s="5" t="s">
        <v>2163</v>
      </c>
      <c r="F98" s="5" t="s">
        <v>2164</v>
      </c>
      <c r="G98" s="6">
        <v>302650</v>
      </c>
      <c r="H98" s="5" t="s">
        <v>2165</v>
      </c>
      <c r="I98" s="5" t="s">
        <v>2166</v>
      </c>
      <c r="J98" s="5" t="s">
        <v>2167</v>
      </c>
      <c r="K98" s="6">
        <v>4095</v>
      </c>
      <c r="L98" s="5" t="s">
        <v>2168</v>
      </c>
      <c r="M98" s="6">
        <v>0</v>
      </c>
      <c r="N98" s="7">
        <v>558254</v>
      </c>
      <c r="O98" s="7">
        <f t="shared" si="0"/>
        <v>20676.074074074073</v>
      </c>
      <c r="P98" s="7">
        <v>59</v>
      </c>
      <c r="Q98" s="7">
        <v>2173</v>
      </c>
      <c r="R98" s="7">
        <f t="shared" si="1"/>
        <v>306745</v>
      </c>
      <c r="S98" s="7">
        <f t="shared" si="2"/>
        <v>327421.07407407404</v>
      </c>
      <c r="T98" s="8">
        <f t="shared" si="3"/>
        <v>6.3148269037186122E-2</v>
      </c>
      <c r="U98" s="5" t="s">
        <v>2169</v>
      </c>
      <c r="V98" s="5" t="s">
        <v>1615</v>
      </c>
      <c r="W98" s="5" t="s">
        <v>1519</v>
      </c>
    </row>
    <row r="99" spans="1:23" ht="14.4" x14ac:dyDescent="0.3">
      <c r="A99" s="10">
        <v>98</v>
      </c>
      <c r="B99" s="31" t="s">
        <v>862</v>
      </c>
      <c r="C99" s="31" t="s">
        <v>975</v>
      </c>
      <c r="D99" s="5" t="s">
        <v>31</v>
      </c>
      <c r="E99" s="5" t="s">
        <v>2170</v>
      </c>
      <c r="F99" s="5" t="s">
        <v>2171</v>
      </c>
      <c r="G99" s="6">
        <v>264397</v>
      </c>
      <c r="H99" s="5" t="s">
        <v>2172</v>
      </c>
      <c r="I99" s="5" t="s">
        <v>31</v>
      </c>
      <c r="J99" s="5" t="s">
        <v>31</v>
      </c>
      <c r="K99" s="6">
        <v>0</v>
      </c>
      <c r="L99" s="5" t="s">
        <v>31</v>
      </c>
      <c r="M99" s="6">
        <v>0</v>
      </c>
      <c r="N99" s="34">
        <f>IFERROR(VLOOKUP(C99,'[1]Colombia Radio'!$C$2:$E$97118,2,0),0)</f>
        <v>0</v>
      </c>
      <c r="O99" s="34">
        <f t="shared" si="0"/>
        <v>0</v>
      </c>
      <c r="P99" s="34">
        <f>IFERROR(VLOOKUP(C99,'[1]Colombia Radio'!$C$2:$E$69000,3,0),0)</f>
        <v>0</v>
      </c>
      <c r="Q99" s="34">
        <f>IFERROR(VLOOKUP(C99,'[1]Colombia Radio'!$C$2:$F$69000,4,0),0)</f>
        <v>0</v>
      </c>
      <c r="R99" s="34">
        <f t="shared" si="1"/>
        <v>264397</v>
      </c>
      <c r="S99" s="34">
        <f t="shared" si="2"/>
        <v>264397</v>
      </c>
      <c r="T99" s="35">
        <f t="shared" si="3"/>
        <v>0</v>
      </c>
      <c r="U99" s="5" t="s">
        <v>2173</v>
      </c>
      <c r="V99" s="5" t="s">
        <v>1615</v>
      </c>
      <c r="W99" s="5" t="s">
        <v>980</v>
      </c>
    </row>
    <row r="100" spans="1:23" ht="14.4" x14ac:dyDescent="0.3">
      <c r="A100" s="3">
        <v>99</v>
      </c>
      <c r="B100" s="31" t="s">
        <v>1556</v>
      </c>
      <c r="C100" s="31" t="s">
        <v>1557</v>
      </c>
      <c r="D100" s="11" t="s">
        <v>31</v>
      </c>
      <c r="E100" s="11" t="s">
        <v>2174</v>
      </c>
      <c r="F100" s="11" t="s">
        <v>2175</v>
      </c>
      <c r="G100" s="12">
        <v>289088</v>
      </c>
      <c r="H100" s="11" t="s">
        <v>2176</v>
      </c>
      <c r="I100" s="11" t="s">
        <v>31</v>
      </c>
      <c r="J100" s="11" t="s">
        <v>31</v>
      </c>
      <c r="K100" s="12">
        <v>0</v>
      </c>
      <c r="L100" s="11" t="s">
        <v>31</v>
      </c>
      <c r="M100" s="12">
        <v>0</v>
      </c>
      <c r="N100" s="13">
        <v>924461</v>
      </c>
      <c r="O100" s="13">
        <f t="shared" si="0"/>
        <v>34239.296296296299</v>
      </c>
      <c r="P100" s="13">
        <v>55</v>
      </c>
      <c r="Q100" s="13">
        <v>1018</v>
      </c>
      <c r="R100" s="13">
        <f t="shared" si="1"/>
        <v>289088</v>
      </c>
      <c r="S100" s="13">
        <f t="shared" si="2"/>
        <v>323327.29629629629</v>
      </c>
      <c r="T100" s="14">
        <f t="shared" si="3"/>
        <v>0.10589670803704583</v>
      </c>
      <c r="U100" s="11" t="s">
        <v>2177</v>
      </c>
      <c r="V100" s="11" t="s">
        <v>1615</v>
      </c>
      <c r="W100" s="11" t="s">
        <v>1562</v>
      </c>
    </row>
    <row r="101" spans="1:23" ht="14.4" x14ac:dyDescent="0.3">
      <c r="A101" s="22">
        <v>100</v>
      </c>
      <c r="B101" s="37" t="s">
        <v>800</v>
      </c>
      <c r="C101" s="37" t="s">
        <v>802</v>
      </c>
      <c r="D101" s="38" t="s">
        <v>31</v>
      </c>
      <c r="E101" s="38" t="s">
        <v>2178</v>
      </c>
      <c r="F101" s="38" t="s">
        <v>2179</v>
      </c>
      <c r="G101" s="39">
        <v>314331</v>
      </c>
      <c r="H101" s="38" t="s">
        <v>2180</v>
      </c>
      <c r="I101" s="38" t="s">
        <v>2079</v>
      </c>
      <c r="J101" s="38" t="s">
        <v>2181</v>
      </c>
      <c r="K101" s="39">
        <v>6579</v>
      </c>
      <c r="L101" s="38" t="s">
        <v>2182</v>
      </c>
      <c r="M101" s="39">
        <v>0</v>
      </c>
      <c r="N101" s="40">
        <v>0</v>
      </c>
      <c r="O101" s="40">
        <f t="shared" si="0"/>
        <v>0</v>
      </c>
      <c r="P101" s="40">
        <v>0</v>
      </c>
      <c r="Q101" s="40">
        <v>0</v>
      </c>
      <c r="R101" s="40">
        <f t="shared" si="1"/>
        <v>320910</v>
      </c>
      <c r="S101" s="40">
        <f t="shared" si="2"/>
        <v>320910</v>
      </c>
      <c r="T101" s="41">
        <f t="shared" si="3"/>
        <v>0</v>
      </c>
      <c r="U101" s="38" t="s">
        <v>2183</v>
      </c>
      <c r="V101" s="38" t="s">
        <v>1615</v>
      </c>
      <c r="W101" s="38" t="s">
        <v>810</v>
      </c>
    </row>
  </sheetData>
  <pageMargins left="0.7" right="0.7" top="0.75" bottom="0.75" header="0.3" footer="0.3"/>
  <tableParts count="8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 junio</vt:lpstr>
      <vt:lpstr>2 junio</vt:lpstr>
      <vt:lpstr>3 junio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Webmaster</dc:creator>
  <cp:lastModifiedBy>Contacto BillboardCo</cp:lastModifiedBy>
  <dcterms:modified xsi:type="dcterms:W3CDTF">2026-06-23T19:34:45Z</dcterms:modified>
</cp:coreProperties>
</file>